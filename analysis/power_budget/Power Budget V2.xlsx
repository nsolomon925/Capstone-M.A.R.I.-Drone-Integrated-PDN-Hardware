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Budget" sheetId="1" r:id="rId5"/>
    <sheet state="visible" name="New Components" sheetId="2" r:id="rId6"/>
    <sheet state="visible" name="Old Components" sheetId="3" r:id="rId7"/>
    <sheet state="visible" name="Motor 4S Conversion" sheetId="4" r:id="rId8"/>
    <sheet state="visible" name="Motor 3S Conversion" sheetId="5" r:id="rId9"/>
    <sheet state="visible" name="Motor Data Conversion" sheetId="6" r:id="rId10"/>
  </sheets>
  <definedNames/>
  <calcPr/>
</workbook>
</file>

<file path=xl/sharedStrings.xml><?xml version="1.0" encoding="utf-8"?>
<sst xmlns="http://schemas.openxmlformats.org/spreadsheetml/2006/main" count="736" uniqueCount="425">
  <si>
    <t>Identification /  Role</t>
  </si>
  <si>
    <t>Electrical Inputs</t>
  </si>
  <si>
    <t>Power + Efficiency</t>
  </si>
  <si>
    <t>Noise / Ripple Design</t>
  </si>
  <si>
    <t>Passive Components</t>
  </si>
  <si>
    <t>Protection / Documentation</t>
  </si>
  <si>
    <t>Component</t>
  </si>
  <si>
    <t>Function / Role</t>
  </si>
  <si>
    <t xml:space="preserve"> Source Rail</t>
  </si>
  <si>
    <t>Output Rail</t>
  </si>
  <si>
    <t>V_in (V) nominal</t>
  </si>
  <si>
    <t>V_in (V) max</t>
  </si>
  <si>
    <t>V_out (V)</t>
  </si>
  <si>
    <t>I_typ_in (mA)</t>
  </si>
  <si>
    <t>I_peak_in (mA)</t>
  </si>
  <si>
    <t>Trace_width_in</t>
  </si>
  <si>
    <t>I_peak_out (mA)</t>
  </si>
  <si>
    <t>Trace_width_out (mil)</t>
  </si>
  <si>
    <t>I_quiescent (mA)</t>
  </si>
  <si>
    <t>Duty (%)</t>
  </si>
  <si>
    <t>P_in (W)</t>
  </si>
  <si>
    <t>η (%)</t>
  </si>
  <si>
    <t>P_out (W)</t>
  </si>
  <si>
    <t>P_loss (W)</t>
  </si>
  <si>
    <t>P_dissapation (heat)</t>
  </si>
  <si>
    <t>P_dissapation_max (heat)</t>
  </si>
  <si>
    <t xml:space="preserve">Noise Sensitivity </t>
  </si>
  <si>
    <t>Allowed Ripple/Noise (mVpp)</t>
  </si>
  <si>
    <t>Est. Ripple (mVpp)</t>
  </si>
  <si>
    <t>Post-Filter Type</t>
  </si>
  <si>
    <t>Local Capacitance (F)</t>
  </si>
  <si>
    <t>Resistors (Ω)</t>
  </si>
  <si>
    <t>Inductance (H)</t>
  </si>
  <si>
    <t>Protection</t>
  </si>
  <si>
    <t>Notes</t>
  </si>
  <si>
    <t>Datasheet</t>
  </si>
  <si>
    <t>Design</t>
  </si>
  <si>
    <t>Distributor</t>
  </si>
  <si>
    <t>AutoDesk Fusion File</t>
  </si>
  <si>
    <t>LT Spice File</t>
  </si>
  <si>
    <t>Battery</t>
  </si>
  <si>
    <t>Main power source for entire system
(12 AWG up to 30 A)
16V8 (608g / 1.34 lbs)
Hover: 8.6 - 10.932 min
Ascend: 3.5 - 4.5 min
12V6 (413g / 0.911 lbs)
Hover: 3.846 - 4.613 min
Ascend: 2.88 - 3.455 min</t>
  </si>
  <si>
    <t>BAT_12V6 / BAT_16V8</t>
  </si>
  <si>
    <t>16V8:
16.8 V max
14.0 V nominal
13.2 V low
12V6:
12.6 V max
11.1 V nominal
 10.5 V low</t>
  </si>
  <si>
    <t>16.8 V Hover
34.03 A Max
38.60 A Optimal
43.24 A Worst
12.6 V Hover:
68.95 A Max
78.22 A Optimal
82.68 A Worst</t>
  </si>
  <si>
    <t>16.8 V Ascend
82.118 A Max
93.181 A Optimal
104.445 A Worst
12.6 V Ascend:
92.05 A Max
104.45 A Optimal
110.41 A Worst</t>
  </si>
  <si>
    <t>Total Power
16V8: 1380.32 W
12V6: 1161.61 W</t>
  </si>
  <si>
    <t xml:space="preserve">2 oz copper pour
8AWG-12AWG
608 g / 1.34 lbs
</t>
  </si>
  <si>
    <t>Link_16V8
Link_12V6</t>
  </si>
  <si>
    <r>
      <rPr>
        <color rgb="FF1155CC"/>
        <u/>
      </rPr>
      <t>Link</t>
    </r>
    <r>
      <rPr/>
      <t xml:space="preserve">
</t>
    </r>
    <r>
      <rPr>
        <color rgb="FF1155CC"/>
        <u/>
      </rPr>
      <t>XT90 (Female) / Bullet (Male) 4.0 mm</t>
    </r>
    <r>
      <rPr/>
      <t xml:space="preserve">
</t>
    </r>
    <r>
      <rPr>
        <color rgb="FF1155CC"/>
        <u/>
      </rPr>
      <t xml:space="preserve">Bullet (Male/Female)
</t>
    </r>
  </si>
  <si>
    <t>Monitoring Circuit</t>
  </si>
  <si>
    <t>Battery Warning indicates voltage drop below 10.5 V (3.3 V / cell with voltage sag)</t>
  </si>
  <si>
    <t>11.1 V / 14.8 V</t>
  </si>
  <si>
    <t>12.6 V / 16.8 V</t>
  </si>
  <si>
    <t>16V8:
Good (16.8 V - 14.0 V): 1.513 V (max) - 1.261 V
Warning (14.0 V - 13.2 V): 1.261 V - 1.189 V
Critical: (Below 13.2 V) 1.189 V &gt;
12V6:
Good (12.6 V - 11.4 V): 1.134 V (max) - 1.026 V
Warning (11.4 V - 10.5 V): 1.026 V - 0.945 V
Critical (Below 10.5 V): 0.945 V &gt;
Indicators:
Green (JP1) PA10
Yellow: Below $US14
Red: $US14</t>
  </si>
  <si>
    <t>16V8: 0.32 mA
12V6: 0.29 mA</t>
  </si>
  <si>
    <t>6 mil</t>
  </si>
  <si>
    <t>C37 = 100 nF to GND, right next to ADC pin</t>
  </si>
  <si>
    <t>R14 = 47 kΩ (Top)
R15 = 4.7 kΩ (Bottom)
R9 = 1kΩ (Midpoint) to ADC pin</t>
  </si>
  <si>
    <t>R1 in series to GND with R3 and the midpoint connected to C1 going to GND.  Keep R3 and C1 as close to MCU pin as possible.  MCU pin (Vain = PC0 pin 15) volatage analog input V</t>
  </si>
  <si>
    <t>Link
Pinout</t>
  </si>
  <si>
    <t>LED Diode 
White/Red/Yellow/Green/Blue</t>
  </si>
  <si>
    <t xml:space="preserve">ESC + motor #1 </t>
  </si>
  <si>
    <t>Converts battery DC (14.8 V) to 3-phase AC for motor control
(12 AWG up tp 20 A)</t>
  </si>
  <si>
    <r>
      <rPr>
        <rFont val="Arial"/>
        <b/>
        <color rgb="FF0000FF"/>
      </rPr>
      <t xml:space="preserve">16.8 V Hover per motor
</t>
    </r>
    <r>
      <rPr>
        <rFont val="Arial"/>
        <b val="0"/>
        <color rgb="FF0000FF"/>
      </rPr>
      <t>8.444 A max
9.585 A Optimal
10.747 A Worst Case</t>
    </r>
    <r>
      <rPr>
        <rFont val="Arial"/>
        <b/>
        <color rgb="FF0000FF"/>
      </rPr>
      <t xml:space="preserve">
12.6 V Hover per motor
</t>
    </r>
    <r>
      <rPr>
        <rFont val="Arial"/>
        <b val="0"/>
        <color rgb="FF0000FF"/>
      </rPr>
      <t xml:space="preserve">17.172 A max
19.493 A Optimal
20.607 A Worst Case
</t>
    </r>
  </si>
  <si>
    <r>
      <rPr>
        <rFont val="Arial"/>
        <b/>
        <color rgb="FF0000FF"/>
      </rPr>
      <t xml:space="preserve">16.8 V Ascend per motor
</t>
    </r>
    <r>
      <rPr>
        <rFont val="Arial"/>
        <b val="0"/>
        <color rgb="FF0000FF"/>
      </rPr>
      <t>20.466 A max
23.232 A Optimal
26.048 A Worst Case</t>
    </r>
    <r>
      <rPr>
        <rFont val="Arial"/>
        <b/>
        <color rgb="FF0000FF"/>
      </rPr>
      <t xml:space="preserve">
12.6 V Ascend per motor
</t>
    </r>
    <r>
      <rPr>
        <rFont val="Arial"/>
        <b val="0"/>
        <color rgb="FF0000FF"/>
      </rPr>
      <t>22.949 A max
26.05 A Optimal
27.539 A Worst Case</t>
    </r>
    <r>
      <rPr>
        <rFont val="Arial"/>
        <b/>
        <color rgb="FF0000FF"/>
      </rPr>
      <t xml:space="preserve">
</t>
    </r>
  </si>
  <si>
    <t>100
(0-100)</t>
  </si>
  <si>
    <t>low</t>
  </si>
  <si>
    <t>≤ 444 @ VBat input</t>
  </si>
  <si>
    <t>3.2 V</t>
  </si>
  <si>
    <t xml:space="preserve">Based on motor data: 5 A @ hover (~74 W), 9 A @ climb (~132 W).
XT90 (Female)
</t>
  </si>
  <si>
    <t>Link (ESCs)
Link (Motors)</t>
  </si>
  <si>
    <r>
      <rPr>
        <color rgb="FF1155CC"/>
        <u/>
      </rPr>
      <t>Link</t>
    </r>
    <r>
      <rPr/>
      <t xml:space="preserve">
</t>
    </r>
    <r>
      <rPr>
        <color rgb="FF1155CC"/>
        <u/>
      </rPr>
      <t>XT60 (Female) to Bullet Connectors</t>
    </r>
    <r>
      <rPr/>
      <t xml:space="preserve">
</t>
    </r>
    <r>
      <rPr>
        <color rgb="FF1155CC"/>
        <u/>
      </rPr>
      <t>Bullet (Male/Female)</t>
    </r>
  </si>
  <si>
    <t>ESC + motor #2</t>
  </si>
  <si>
    <t>Based on motor data: 5 A @ hover (~74 W), 9 A @ climb (~132 W).</t>
  </si>
  <si>
    <t>ESC + motor #3</t>
  </si>
  <si>
    <t>ESC + motor #4</t>
  </si>
  <si>
    <t>Buck Converter 5 
AP63300WU-7 (Diodes Inc)</t>
  </si>
  <si>
    <t>Steps 12.6 V or 16.8 V battery to regulated 5 V rail for RF Receiver + 3.3 V LDO</t>
  </si>
  <si>
    <t>BUCK_5V</t>
  </si>
  <si>
    <t>5V</t>
  </si>
  <si>
    <t>252.588 mA</t>
  </si>
  <si>
    <t>841.116 mA</t>
  </si>
  <si>
    <t>12 mil</t>
  </si>
  <si>
    <t>3.364 W</t>
  </si>
  <si>
    <t>0.374 W</t>
  </si>
  <si>
    <t>Medium</t>
  </si>
  <si>
    <t>C32 = 10 µF at VIN   
C2A = 22µF  / C2B = 22µF in parallel to Vout
C33 =. 100 pF between SW/FB  
C34 = 0.1 µF (100 nF) between BST/SW</t>
  </si>
  <si>
    <t>R11 = 56.2 kΩ  between SW/FB
R12 = 10 kΩ in series with R1</t>
  </si>
  <si>
    <t>L1 = 3.3 µH between SW/FB</t>
  </si>
  <si>
    <t>if EN is left floating, the device still automatically enables once the voltage reaches the EN logic high threshold. (typical 1.2V, rising), When the EN voltage falls below its logic low threshold (typical 1.1V, falling), the internal SS voltage discharges to ground and device operation disables.</t>
  </si>
  <si>
    <t>Link</t>
  </si>
  <si>
    <t>LTC3633A - Analog Device INC</t>
  </si>
  <si>
    <t>RF Receiver</t>
  </si>
  <si>
    <t>Wireless receiver for flight control signals</t>
  </si>
  <si>
    <t>5.0 V</t>
  </si>
  <si>
    <t>30 mA</t>
  </si>
  <si>
    <t>60 mA</t>
  </si>
  <si>
    <t>100
(50-85)</t>
  </si>
  <si>
    <t>≤ 50  @ 5 V input</t>
  </si>
  <si>
    <t>LDO 3.3V
TLV75533PDYDR (Texas Instruments)</t>
  </si>
  <si>
    <t xml:space="preserve">Steps 5V Buck to regulated 3.3V rail </t>
  </si>
  <si>
    <t>LDO_3V3_A</t>
  </si>
  <si>
    <t>3.3 V</t>
  </si>
  <si>
    <t>203.384 mA</t>
  </si>
  <si>
    <t>203.344mA</t>
  </si>
  <si>
    <t>0.04 mA
(40 µA)</t>
  </si>
  <si>
    <t>1.017 W</t>
  </si>
  <si>
    <t>66 %</t>
  </si>
  <si>
    <t>0.537 W</t>
  </si>
  <si>
    <t>0.277 W</t>
  </si>
  <si>
    <t>82 °C</t>
  </si>
  <si>
    <t>125 °C (operational)
150 °C (max)</t>
  </si>
  <si>
    <t>C35 = 1 µF ceramic at IN/GND, placed right at the pins
C36 = 1 µF ceramic at OUT/GND, placed right at the pins
D2 = 20V / 1A</t>
  </si>
  <si>
    <t>Schottky diode - acts as a reverse-current protection clamp.
Cathode → LDO OUT (3.3 V rail)
Anode → LDO IN (5 V rail)
20 V / 1 A Schottky diode
Quiescent current = Ground Current</t>
  </si>
  <si>
    <t>LT1763-3.3</t>
  </si>
  <si>
    <t>LoRa
RYLR998 (Reyax)</t>
  </si>
  <si>
    <t>@ 14 dBm</t>
  </si>
  <si>
    <t>3.6 V</t>
  </si>
  <si>
    <t>115.5 mA</t>
  </si>
  <si>
    <t>144.375 mA</t>
  </si>
  <si>
    <t>IMU (BNO085)</t>
  </si>
  <si>
    <t>9-axis absolute orientation sensor</t>
  </si>
  <si>
    <t>18.3 mA</t>
  </si>
  <si>
    <t>High</t>
  </si>
  <si>
    <t>≤33  ?</t>
  </si>
  <si>
    <t>~11 ?</t>
  </si>
  <si>
    <t>N/A (clean LDO output)</t>
  </si>
  <si>
    <t>C1 = 0.1 µF at VDD,
C2 = 0.1 µF at VDDIO,
C3 = 10 µF bulk nearby.</t>
  </si>
  <si>
    <t xml:space="preserve">R1 = 
R2 = 
R3 = 
R4 = </t>
  </si>
  <si>
    <t>IMU (BNO085):VDD</t>
  </si>
  <si>
    <t>7.5 mA</t>
  </si>
  <si>
    <t>IMU (BNO085):VDDIO</t>
  </si>
  <si>
    <t>7.14 mA</t>
  </si>
  <si>
    <t>LDO_3V3_B</t>
  </si>
  <si>
    <t>409.509 mA</t>
  </si>
  <si>
    <t>409.469 mA</t>
  </si>
  <si>
    <t>2.048 W</t>
  </si>
  <si>
    <t>1.081 W</t>
  </si>
  <si>
    <t>0.557 W</t>
  </si>
  <si>
    <t>108.19°C</t>
  </si>
  <si>
    <t>Microcontroller</t>
  </si>
  <si>
    <t>327.316 mA</t>
  </si>
  <si>
    <t>Microcontroller :  Total VDD/VDDA/VREF+</t>
  </si>
  <si>
    <t>VDD is the main digital supply voltage for the microcontroller.</t>
  </si>
  <si>
    <t>320 mA</t>
  </si>
  <si>
    <t>Microcontroller :  VDD</t>
  </si>
  <si>
    <t>Microcontroller :  VDD2</t>
  </si>
  <si>
    <t>Microcontroller :  VDD3</t>
  </si>
  <si>
    <t>Microcontroller :  VDD4</t>
  </si>
  <si>
    <t>Microcontroller :  VDD5</t>
  </si>
  <si>
    <t>Microcontroller (ADC) :  VDDA</t>
  </si>
  <si>
    <t>powers the analog domain of the MCU, which includes the ADC (Analog-to-Digital Converter), DAC, and analog reference circuits like VREF+</t>
  </si>
  <si>
    <t>1.6 mA</t>
  </si>
  <si>
    <t>1.8 mA</t>
  </si>
  <si>
    <t>Microcontroller (ADC):  VREF+</t>
  </si>
  <si>
    <t>provides the reference voltage used by the ADC (Analog-to-Digital Converter) and DAC (Digital-to-Analog Converter) inside the MCU.
The ADC converts analog voltages (on input pins like PA0, PC0, etc.) into digital values between 0 and VREF+.</t>
  </si>
  <si>
    <t>0.3 mA
(300 µA)</t>
  </si>
  <si>
    <t>0.5 mA 
(500 µA)</t>
  </si>
  <si>
    <t>Microcontroller :  VDDUSB</t>
  </si>
  <si>
    <t>not used tied to VDD</t>
  </si>
  <si>
    <t>25 mA</t>
  </si>
  <si>
    <t>Microcontroller :  VBat</t>
  </si>
  <si>
    <t>0.00173 mA 
(1.73 µA)</t>
  </si>
  <si>
    <t>0.0155 mA 
(15.5 µA)</t>
  </si>
  <si>
    <t>Microcontroller :  VCAP1 (Output)</t>
  </si>
  <si>
    <t>outputs of the MCU’s internal 1.2 V voltage regulator.
The MCU uses that internal regulator to power its CPU core and logic running at 1.2 V, even though you feed it 3.3 V on VDD.</t>
  </si>
  <si>
    <t>0 mA</t>
  </si>
  <si>
    <t>Microcontroller :  VCAP2 (Output)</t>
  </si>
  <si>
    <t>Microcontroller: GPIO</t>
  </si>
  <si>
    <t>DO NOT USE: 
PC13,
PC14
PC15
PI8</t>
  </si>
  <si>
    <t>LED: Red PD6</t>
  </si>
  <si>
    <t>2.0 V</t>
  </si>
  <si>
    <t>10 mA</t>
  </si>
  <si>
    <t>20 mA</t>
  </si>
  <si>
    <t>R1 = 130 Ω</t>
  </si>
  <si>
    <t>LED: Yellow PD2</t>
  </si>
  <si>
    <t>LED: Blue</t>
  </si>
  <si>
    <t>3.0 V</t>
  </si>
  <si>
    <t>R1 = 30 Ω</t>
  </si>
  <si>
    <t>LED: Green PD4</t>
  </si>
  <si>
    <t>LED: White</t>
  </si>
  <si>
    <t>Oscillator (NX3225GA)</t>
  </si>
  <si>
    <t>MCU clock reference (passive crystal)</t>
  </si>
  <si>
    <t>0 mA
 (draw through MCU)</t>
  </si>
  <si>
    <t>N/A</t>
  </si>
  <si>
    <t>≤11 ?</t>
  </si>
  <si>
    <t>~11  ?</t>
  </si>
  <si>
    <t>N/A (uses pF load caps)</t>
  </si>
  <si>
    <t>Two ≈ 15 pF l(12 pF-now ) load capacitors to GND (for XTAL load, not power decoupling); place close to MCU XTAL pins; short, symmetric traces; optional ground guard ring</t>
  </si>
  <si>
    <t>Crystal CL=8 pF, Drive 10–200 µW</t>
  </si>
  <si>
    <t>Barometer (BMP581)</t>
  </si>
  <si>
    <r>
      <rPr>
        <rFont val="Arial"/>
        <b/>
        <color rgb="FFFF0000"/>
      </rPr>
      <t xml:space="preserve">0.26 mA </t>
    </r>
    <r>
      <rPr>
        <rFont val="Arial"/>
        <color theme="1"/>
      </rPr>
      <t xml:space="preserve">
(260 µA)</t>
    </r>
  </si>
  <si>
    <t>C27 = 100 nF
C28 = 100 nF</t>
  </si>
  <si>
    <t>R7 = 4.7 k
R8 = 4.7 k</t>
  </si>
  <si>
    <t>Barometer (BMP581): VDD</t>
  </si>
  <si>
    <t>50 mVpp</t>
  </si>
  <si>
    <t>Barometer (BMP581): VDDIO</t>
  </si>
  <si>
    <t>Bill of Material (BOM)</t>
  </si>
  <si>
    <t>https://www.advancedpcb.com/en-us/tools/trace-width-calculator/</t>
  </si>
  <si>
    <t>-</t>
  </si>
  <si>
    <t>https://tracewidthcalculator.com/</t>
  </si>
  <si>
    <t>Temperature Rise</t>
  </si>
  <si>
    <t>Ambient Temp</t>
  </si>
  <si>
    <t>Copper</t>
  </si>
  <si>
    <t>1 oz</t>
  </si>
  <si>
    <t>mVpp = millivolts peak-to-peak</t>
  </si>
  <si>
    <t>Allowed Ripple / Noise</t>
  </si>
  <si>
    <t>The maximum voltage fluctuation that the device can safely tolerate on its supply without malfunctioning. (This is your design limit.)</t>
  </si>
  <si>
    <t>From rail → device</t>
  </si>
  <si>
    <t>Estimated Ripple / Noise</t>
  </si>
  <si>
    <t>The actual expected ripple on that supply rail once your regulator + caps + layout are in place. (What the device will “see.”)</t>
  </si>
  <si>
    <t xml:space="preserve">Local capacitance </t>
  </si>
  <si>
    <t>tells you how much capacitance you have (the numbers).</t>
  </si>
  <si>
    <t>Local decoupling</t>
  </si>
  <si>
    <t>tells you how you’re using and placing it.</t>
  </si>
  <si>
    <t>Domain: 16.8 V</t>
  </si>
  <si>
    <t>Item #</t>
  </si>
  <si>
    <r>
      <rPr>
        <rFont val="Arial"/>
        <b/>
        <color rgb="FFFF0000"/>
        <sz val="10.0"/>
      </rPr>
      <t>*</t>
    </r>
    <r>
      <rPr>
        <rFont val="Arial"/>
        <b/>
        <color rgb="FFFF0000"/>
        <sz val="10.0"/>
      </rPr>
      <t>Ref Des</t>
    </r>
  </si>
  <si>
    <t>Qty per Board</t>
  </si>
  <si>
    <r>
      <rPr>
        <rFont val="Arial"/>
        <b/>
        <color rgb="FFFF0000"/>
        <sz val="10.0"/>
      </rPr>
      <t>*</t>
    </r>
    <r>
      <rPr>
        <rFont val="Arial"/>
        <b/>
        <color rgb="FFFF0000"/>
        <sz val="10.0"/>
      </rPr>
      <t>Qty</t>
    </r>
  </si>
  <si>
    <t>Manufacturer</t>
  </si>
  <si>
    <r>
      <rPr>
        <rFont val="Arial"/>
        <b/>
        <color rgb="FFFF0000"/>
        <sz val="10.0"/>
      </rPr>
      <t>*</t>
    </r>
    <r>
      <rPr>
        <rFont val="Arial"/>
        <b/>
        <color rgb="FFFF0000"/>
        <sz val="10.0"/>
      </rPr>
      <t>Mfg Part #</t>
    </r>
  </si>
  <si>
    <t>Description / Value</t>
  </si>
  <si>
    <r>
      <rPr>
        <rFont val="Arial"/>
        <b/>
        <color rgb="FFFF0000"/>
        <sz val="10.0"/>
      </rPr>
      <t>*</t>
    </r>
    <r>
      <rPr>
        <rFont val="Arial"/>
        <b/>
        <color rgb="FFFF0000"/>
        <sz val="10.0"/>
      </rPr>
      <t>Package</t>
    </r>
  </si>
  <si>
    <t>Voltage - Rated</t>
  </si>
  <si>
    <t>Current - Rated</t>
  </si>
  <si>
    <t>Power - Rated</t>
  </si>
  <si>
    <t>Type</t>
  </si>
  <si>
    <t>Your Instructions / Notes</t>
  </si>
  <si>
    <t>Unit Cost</t>
  </si>
  <si>
    <t>Total Cost</t>
  </si>
  <si>
    <t>Website</t>
  </si>
  <si>
    <t>C32</t>
  </si>
  <si>
    <t>Murata Electronics</t>
  </si>
  <si>
    <t xml:space="preserve">GRM21BR61H106KE43L
</t>
  </si>
  <si>
    <r>
      <rPr>
        <rFont val="Arial"/>
        <color rgb="FF000000"/>
        <sz val="10.0"/>
      </rPr>
      <t xml:space="preserve">Capacitor </t>
    </r>
    <r>
      <rPr>
        <rFont val="Calibri"/>
        <color rgb="FF000000"/>
        <sz val="11.0"/>
      </rPr>
      <t>10 uF</t>
    </r>
  </si>
  <si>
    <t>50 V</t>
  </si>
  <si>
    <t>Surface Mount</t>
  </si>
  <si>
    <t>link</t>
  </si>
  <si>
    <t>U$55</t>
  </si>
  <si>
    <t>Diodes Inc.</t>
  </si>
  <si>
    <t xml:space="preserve">AP62300TWU-7 </t>
  </si>
  <si>
    <t>5 V Buck Converter</t>
  </si>
  <si>
    <t>SOT-23-6 Thin</t>
  </si>
  <si>
    <t>18 V</t>
  </si>
  <si>
    <t xml:space="preserve">link </t>
  </si>
  <si>
    <t>Capacitor 1000 uF</t>
  </si>
  <si>
    <t>35V</t>
  </si>
  <si>
    <t>Capacitor 470 uF</t>
  </si>
  <si>
    <t>Domain: 5V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</si>
  <si>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</si>
  <si>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</si>
  <si>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</si>
  <si>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</si>
  <si>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t>C34</t>
  </si>
  <si>
    <t>Samsung Electromechanics</t>
  </si>
  <si>
    <t>CL05A104KA5NNNC</t>
  </si>
  <si>
    <t>Capacitor 100nF</t>
  </si>
  <si>
    <t>25V</t>
  </si>
  <si>
    <t>L1</t>
  </si>
  <si>
    <t xml:space="preserve">
LQM21PN3R3MGRD</t>
  </si>
  <si>
    <r>
      <rPr>
        <rFont val="Arial"/>
        <color rgb="FF000000"/>
        <sz val="10.0"/>
      </rPr>
      <t xml:space="preserve">Inductor </t>
    </r>
    <r>
      <rPr>
        <rFont val="Calibri"/>
        <color rgb="FF000000"/>
        <sz val="11.0"/>
      </rPr>
      <t>3.3 µH</t>
    </r>
  </si>
  <si>
    <t>1A</t>
  </si>
  <si>
    <t>C33</t>
  </si>
  <si>
    <t>YAGEO</t>
  </si>
  <si>
    <t>CC0402JRNPO9BN101</t>
  </si>
  <si>
    <r>
      <rPr>
        <rFont val="Arial"/>
        <color rgb="FF000000"/>
        <sz val="10.0"/>
      </rPr>
      <t xml:space="preserve">Capacitor </t>
    </r>
    <r>
      <rPr>
        <rFont val="Calibri"/>
        <color rgb="FF000000"/>
        <sz val="11.0"/>
      </rPr>
      <t>100 pF</t>
    </r>
  </si>
  <si>
    <t>R11</t>
  </si>
  <si>
    <t>Panasonic Electronic Components</t>
  </si>
  <si>
    <t>ERJ-2RKF5622X</t>
  </si>
  <si>
    <r>
      <rPr>
        <rFont val="Calibri"/>
        <color rgb="FF000000"/>
        <sz val="11.0"/>
      </rPr>
      <t xml:space="preserve">Resistors </t>
    </r>
    <r>
      <rPr>
        <rFont val="Arial"/>
        <color rgb="FF000000"/>
        <sz val="10.0"/>
      </rPr>
      <t>56.2k</t>
    </r>
  </si>
  <si>
    <t>0.1 W</t>
  </si>
  <si>
    <t>R12</t>
  </si>
  <si>
    <t xml:space="preserve">RC1005F103CS </t>
  </si>
  <si>
    <t>Resistors 10k</t>
  </si>
  <si>
    <t>0.063 W</t>
  </si>
  <si>
    <t>C2A,C2B</t>
  </si>
  <si>
    <t xml:space="preserve">
CL21A226MOQNNNE</t>
  </si>
  <si>
    <r>
      <rPr>
        <rFont val="Arial"/>
        <color rgb="FF000000"/>
        <sz val="10.0"/>
      </rPr>
      <t xml:space="preserve">Capacitor </t>
    </r>
    <r>
      <rPr>
        <rFont val="Calibri"/>
        <color rgb="FF000000"/>
        <sz val="11.0"/>
      </rPr>
      <t>22 µF</t>
    </r>
  </si>
  <si>
    <t>16V</t>
  </si>
  <si>
    <t>Domain: 3.3V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</si>
  <si>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</si>
  <si>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</si>
  <si>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</si>
  <si>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</si>
  <si>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t>U33</t>
  </si>
  <si>
    <t>Texas Instruments</t>
  </si>
  <si>
    <t xml:space="preserve">TLV75533PDYDR </t>
  </si>
  <si>
    <t>3.3 V LDO</t>
  </si>
  <si>
    <t>SC-74A</t>
  </si>
  <si>
    <t>5.5 V</t>
  </si>
  <si>
    <t xml:space="preserve">Surface Mount </t>
  </si>
  <si>
    <t>C35, C36</t>
  </si>
  <si>
    <t>CL05A105KP5NNNC</t>
  </si>
  <si>
    <r>
      <rPr>
        <rFont val="Arial"/>
        <color theme="1"/>
      </rPr>
      <t xml:space="preserve">Capacitor </t>
    </r>
    <r>
      <rPr>
        <rFont val="Calibri"/>
        <color theme="1"/>
        <sz val="11.0"/>
      </rPr>
      <t>1uF</t>
    </r>
  </si>
  <si>
    <t>10V</t>
  </si>
  <si>
    <t>D2</t>
  </si>
  <si>
    <t xml:space="preserve">
MCC (Micro Commercial Components)</t>
  </si>
  <si>
    <t>SM5817PL-TP</t>
  </si>
  <si>
    <t>Schottky Diode</t>
  </si>
  <si>
    <t>SOD-123</t>
  </si>
  <si>
    <t>20V</t>
  </si>
  <si>
    <t>Bulk Cap</t>
  </si>
  <si>
    <t xml:space="preserve">   </t>
  </si>
  <si>
    <t>50nH</t>
  </si>
  <si>
    <t>150 nH</t>
  </si>
  <si>
    <t>300 nH</t>
  </si>
  <si>
    <t>600 nH</t>
  </si>
  <si>
    <t>900 nH</t>
  </si>
  <si>
    <t>1200 nH</t>
  </si>
  <si>
    <t>1500 nH</t>
  </si>
  <si>
    <t>Rankings</t>
  </si>
  <si>
    <t>B41866C5108M000</t>
  </si>
  <si>
    <t>1000 µF</t>
  </si>
  <si>
    <t>110m Ohm</t>
  </si>
  <si>
    <t>0.11 Ohm</t>
  </si>
  <si>
    <t>15.084 V</t>
  </si>
  <si>
    <t>13.45 V</t>
  </si>
  <si>
    <t>12.602 V</t>
  </si>
  <si>
    <t>12.61 V</t>
  </si>
  <si>
    <t>12.775 V</t>
  </si>
  <si>
    <t>12.975 V</t>
  </si>
  <si>
    <t>13.154 V</t>
  </si>
  <si>
    <t>EKYC250ELL821MJ16S</t>
  </si>
  <si>
    <t>820 µF</t>
  </si>
  <si>
    <t>100m Ohm</t>
  </si>
  <si>
    <t>0.1 Ohm</t>
  </si>
  <si>
    <t>14.671 V</t>
  </si>
  <si>
    <t>13.107 V</t>
  </si>
  <si>
    <t>12.609 V</t>
  </si>
  <si>
    <t>12.717 V</t>
  </si>
  <si>
    <t>13.009 V</t>
  </si>
  <si>
    <t>13.261 V</t>
  </si>
  <si>
    <t>13.485 V</t>
  </si>
  <si>
    <r>
      <rPr>
        <color rgb="FF1155CC"/>
        <u/>
      </rPr>
      <t>EGXF250ELL751MJ16S</t>
    </r>
  </si>
  <si>
    <t>750 µF</t>
  </si>
  <si>
    <t>94m Ohm</t>
  </si>
  <si>
    <t>0.094 Ohm</t>
  </si>
  <si>
    <t>14.401 V</t>
  </si>
  <si>
    <t>12.904 V</t>
  </si>
  <si>
    <t>12.827 V</t>
  </si>
  <si>
    <t>13.161 V</t>
  </si>
  <si>
    <t>13.445 V</t>
  </si>
  <si>
    <t>13.696 V</t>
  </si>
  <si>
    <t>EGXF250ELL911MK15S</t>
  </si>
  <si>
    <t>910 µF</t>
  </si>
  <si>
    <t>82m Ohm</t>
  </si>
  <si>
    <t>0.082 Ohm</t>
  </si>
  <si>
    <t>13.767 V</t>
  </si>
  <si>
    <t>12.608 V</t>
  </si>
  <si>
    <t>12.799 V</t>
  </si>
  <si>
    <t>13.146 V</t>
  </si>
  <si>
    <t>13.443 V</t>
  </si>
  <si>
    <t>13.703 V</t>
  </si>
  <si>
    <r>
      <rPr>
        <color rgb="FF1155CC"/>
        <u/>
      </rPr>
      <t>B41858C5477M000</t>
    </r>
  </si>
  <si>
    <t>470 µF</t>
  </si>
  <si>
    <t>118m Ohm</t>
  </si>
  <si>
    <t>0.118 Ohm</t>
  </si>
  <si>
    <t>15.455 V</t>
  </si>
  <si>
    <t>13.893 V</t>
  </si>
  <si>
    <t>12.986 V</t>
  </si>
  <si>
    <t>12.990 V</t>
  </si>
  <si>
    <t>13.323 V</t>
  </si>
  <si>
    <t>13.611 V</t>
  </si>
  <si>
    <t>13.863 V</t>
  </si>
  <si>
    <t>16.8 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</si>
  <si>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</si>
  <si>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</si>
  <si>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</si>
  <si>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</si>
  <si>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t xml:space="preserve">GRM21BC81D106KE51L </t>
  </si>
  <si>
    <r>
      <rPr>
        <rFont val="Arial"/>
        <color theme="1"/>
      </rPr>
      <t xml:space="preserve">Capacitor </t>
    </r>
    <r>
      <rPr>
        <rFont val="Calibri"/>
        <color theme="1"/>
        <sz val="11.0"/>
      </rPr>
      <t>10 uF</t>
    </r>
  </si>
  <si>
    <t>20 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</si>
  <si>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</si>
  <si>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</si>
  <si>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</si>
  <si>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</si>
  <si>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t>Bourns Inc.</t>
  </si>
  <si>
    <t>CWF1610-3R3K</t>
  </si>
  <si>
    <r>
      <rPr>
        <rFont val="Arial"/>
        <color rgb="FF000000"/>
        <sz val="10.0"/>
      </rPr>
      <t xml:space="preserve">Inductor </t>
    </r>
    <r>
      <rPr>
        <rFont val="Calibri"/>
        <color rgb="FF000000"/>
        <sz val="11.0"/>
      </rPr>
      <t>3.3 µH</t>
    </r>
  </si>
  <si>
    <t>500 mA</t>
  </si>
  <si>
    <t>Wurth Electronik</t>
  </si>
  <si>
    <r>
      <rPr>
        <rFont val="Arial"/>
        <color rgb="FF000000"/>
        <sz val="10.0"/>
      </rPr>
      <t xml:space="preserve">Capacitor </t>
    </r>
    <r>
      <rPr>
        <rFont val="Calibri"/>
        <color rgb="FF000000"/>
        <sz val="11.0"/>
      </rPr>
      <t>100 pF</t>
    </r>
  </si>
  <si>
    <r>
      <rPr>
        <rFont val="Calibri"/>
        <color rgb="FF000000"/>
        <sz val="11.0"/>
      </rPr>
      <t xml:space="preserve">Resistors </t>
    </r>
    <r>
      <rPr>
        <rFont val="Arial"/>
        <color rgb="FF000000"/>
        <sz val="10.0"/>
      </rPr>
      <t>56.2k</t>
    </r>
  </si>
  <si>
    <t xml:space="preserve">CL05A226MQ5N6J8 </t>
  </si>
  <si>
    <r>
      <rPr>
        <rFont val="Arial"/>
        <color rgb="FF000000"/>
        <sz val="10.0"/>
      </rPr>
      <t xml:space="preserve">Capacitor </t>
    </r>
    <r>
      <rPr>
        <rFont val="Calibri"/>
        <color rgb="FF000000"/>
        <sz val="11.0"/>
      </rPr>
      <t>22 µF</t>
    </r>
  </si>
  <si>
    <t>6.3V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</si>
  <si>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</si>
  <si>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</si>
  <si>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</si>
  <si>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</si>
  <si>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r>
      <rPr>
        <rFont val="Arial"/>
        <color theme="1"/>
      </rPr>
      <t xml:space="preserve">Capacitor </t>
    </r>
    <r>
      <rPr>
        <rFont val="Calibri"/>
        <color theme="1"/>
        <sz val="11.0"/>
      </rPr>
      <t>1uF</t>
    </r>
  </si>
  <si>
    <t>onsemi</t>
  </si>
  <si>
    <t>Voltage (V)</t>
  </si>
  <si>
    <t>Current (A)</t>
  </si>
  <si>
    <t>Thrust (G)</t>
  </si>
  <si>
    <t>Power (W)</t>
  </si>
  <si>
    <t>Efficieny (G/W)</t>
  </si>
  <si>
    <t>Speed (RPM)</t>
  </si>
  <si>
    <t>MAX</t>
  </si>
  <si>
    <t>Motor DataSheet (2-blade)</t>
  </si>
  <si>
    <t>14.8 V 4S</t>
  </si>
  <si>
    <t>Thrust</t>
  </si>
  <si>
    <t>Weight (lbs):</t>
  </si>
  <si>
    <t>Hover Weight (g)</t>
  </si>
  <si>
    <t>Ascend Weight (g)</t>
  </si>
  <si>
    <t>Hover per motor (x4) (g):</t>
  </si>
  <si>
    <t>Ascend per motor (x4 - Double) (g):</t>
  </si>
  <si>
    <t>Power</t>
  </si>
  <si>
    <t>Interpolation between 300g and 500g  (P442) (W):</t>
  </si>
  <si>
    <t>P340 Total (W)</t>
  </si>
  <si>
    <t>Interpolation between 700g and 900g  (P884) (W):</t>
  </si>
  <si>
    <t>P680 Total (w)</t>
  </si>
  <si>
    <t>Current</t>
  </si>
  <si>
    <t>10.5 V</t>
  </si>
  <si>
    <t>11.1 V</t>
  </si>
  <si>
    <t>12.6 V</t>
  </si>
  <si>
    <t>Hover per motor Current (A)</t>
  </si>
  <si>
    <t>Hover Total Current (A)</t>
  </si>
  <si>
    <t>Ascend per motor Current (A)</t>
  </si>
  <si>
    <t>Ascend Total Current (A)</t>
  </si>
  <si>
    <t xml:space="preserve">Efficiency </t>
  </si>
  <si>
    <t>Hover Efficiency (g/W)</t>
  </si>
  <si>
    <t>Ascend Efficiency (g/W)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</si>
</sst>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32">
    <font>
      <sz val="10.0"/>
      <color rgb="FF000000"/>
      <name val="Arial"/>
      <scheme val="minor"/>
    </font>
    <font>
      <color theme="1"/>
      <name val="Arial"/>
      <scheme val="minor"/>
    </font>
    <font>
      <u/>
      <color rgb="FF1155CC"/>
    </font>
    <font>
      <u/>
      <color rgb="FF0000FF"/>
    </font>
    <font>
      <b/>
      <color rgb="FF0000FF"/>
      <name val="Arial"/>
      <scheme val="minor"/>
    </font>
    <font>
      <u/>
      <color rgb="FF1155CC"/>
    </font>
    <font>
      <u/>
      <color rgb="FF1155CC"/>
    </font>
    <font>
      <u/>
      <color rgb="FF1155CC"/>
    </font>
    <font>
      <u/>
      <color rgb="FF0000FF"/>
    </font>
    <font>
      <b/>
      <color rgb="FF38761D"/>
      <name val="Arial"/>
      <scheme val="minor"/>
    </font>
    <font>
      <u/>
      <color rgb="FF0000FF"/>
    </font>
    <font>
      <u/>
      <color rgb="FF0000FF"/>
    </font>
    <font>
      <b/>
      <color rgb="FFFF0000"/>
      <name val="Arial"/>
      <scheme val="minor"/>
    </font>
    <font>
      <b/>
      <color theme="1"/>
      <name val="Arial"/>
      <scheme val="minor"/>
    </font>
    <font>
      <sz val="11.0"/>
      <color rgb="FF0F1111"/>
      <name val="Arial"/>
    </font>
    <font>
      <b/>
      <u/>
      <color rgb="FF0000FF"/>
    </font>
    <font>
      <u/>
      <color rgb="FF0000FF"/>
    </font>
    <font>
      <color rgb="FF000000"/>
      <name val="Arial"/>
      <scheme val="minor"/>
    </font>
    <font>
      <b/>
      <color theme="1"/>
      <name val="Arial"/>
    </font>
    <font>
      <b/>
      <color rgb="FFFF0000"/>
      <name val="Arial"/>
    </font>
    <font>
      <sz val="11.0"/>
      <color theme="1"/>
      <name val="Arial"/>
    </font>
    <font>
      <sz val="11.0"/>
      <color theme="1"/>
      <name val="Calibri"/>
    </font>
    <font>
      <color theme="1"/>
      <name val="Arial"/>
    </font>
    <font>
      <u/>
      <color rgb="FF0000FF"/>
      <name val="Arial"/>
    </font>
    <font>
      <u/>
      <color rgb="FF0000FF"/>
      <name val="Arial"/>
    </font>
    <font>
      <b/>
      <u/>
      <color rgb="FF0000FF"/>
      <name val="Arial"/>
    </font>
    <font>
      <u/>
      <sz val="11.0"/>
      <color rgb="FF0000FF"/>
      <name val="Calibri"/>
    </font>
    <font>
      <color rgb="FF222222"/>
      <name val="Roboto"/>
    </font>
    <font>
      <sz val="14.0"/>
      <color rgb="FF222222"/>
      <name val="Roboto"/>
    </font>
    <font>
      <u/>
      <sz val="11.0"/>
      <color rgb="FF0000FF"/>
      <name val="Calibri"/>
    </font>
    <font>
      <b/>
      <u/>
      <color rgb="FF0000FF"/>
      <name val="Arial"/>
    </font>
    <font>
      <u/>
      <sz val="11.0"/>
      <color rgb="FF0000FF"/>
      <name val="Arial"/>
    </font>
  </fonts>
  <fills count="10">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FFFFFF"/>
        <bgColor rgb="FFFFFFFF"/>
      </patternFill>
    </fill>
    <fill>
      <patternFill patternType="solid">
        <fgColor rgb="FFBFBFBF"/>
        <bgColor rgb="FFBFBFBF"/>
      </patternFill>
    </fill>
  </fills>
  <borders count="5">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3" fontId="1" numFmtId="0" xfId="0" applyAlignment="1" applyFont="1">
      <alignment horizontal="center" readingOrder="0" shrinkToFit="0" wrapText="1"/>
    </xf>
    <xf borderId="0" fillId="4" fontId="1" numFmtId="0" xfId="0" applyAlignment="1" applyFill="1" applyFont="1">
      <alignment horizontal="left" readingOrder="0"/>
    </xf>
    <xf borderId="0" fillId="4" fontId="1" numFmtId="0" xfId="0" applyAlignment="1" applyFont="1">
      <alignment horizontal="center" readingOrder="0"/>
    </xf>
    <xf borderId="0" fillId="5" fontId="1" numFmtId="0" xfId="0" applyAlignment="1" applyFill="1" applyFont="1">
      <alignment horizontal="left" readingOrder="0"/>
    </xf>
    <xf borderId="0" fillId="5" fontId="1" numFmtId="0" xfId="0" applyAlignment="1" applyFont="1">
      <alignment horizontal="center" readingOrder="0"/>
    </xf>
    <xf borderId="0" fillId="6" fontId="1" numFmtId="0" xfId="0" applyAlignment="1" applyFill="1" applyFont="1">
      <alignment horizontal="center" readingOrder="0"/>
    </xf>
    <xf borderId="0" fillId="6" fontId="1" numFmtId="0" xfId="0" applyFont="1"/>
    <xf borderId="0" fillId="7" fontId="1" numFmtId="0" xfId="0" applyAlignment="1" applyFill="1" applyFont="1">
      <alignment horizontal="center" readingOrder="0"/>
    </xf>
    <xf borderId="0" fillId="2" fontId="1" numFmtId="0" xfId="0" applyAlignment="1" applyFont="1">
      <alignment readingOrder="0"/>
    </xf>
    <xf borderId="0" fillId="3" fontId="1" numFmtId="0" xfId="0" applyAlignment="1" applyFont="1">
      <alignment readingOrder="0"/>
    </xf>
    <xf borderId="0" fillId="3" fontId="1" numFmtId="0" xfId="0" applyAlignment="1" applyFont="1">
      <alignment readingOrder="0" shrinkToFit="0" wrapText="1"/>
    </xf>
    <xf borderId="0" fillId="4" fontId="1" numFmtId="0" xfId="0" applyAlignment="1" applyFont="1">
      <alignment readingOrder="0"/>
    </xf>
    <xf borderId="0" fillId="6" fontId="1" numFmtId="0" xfId="0" applyAlignment="1" applyFont="1">
      <alignment readingOrder="0"/>
    </xf>
    <xf borderId="0" fillId="0" fontId="1" numFmtId="0" xfId="0" applyAlignment="1" applyFont="1">
      <alignment readingOrder="0" shrinkToFit="0" vertical="bottom" wrapText="1"/>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horizontal="center" readingOrder="0" vertical="center"/>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1" numFmtId="0" xfId="0" applyAlignment="1" applyFont="1">
      <alignment horizontal="center" shrinkToFit="0" wrapText="1"/>
    </xf>
    <xf borderId="0" fillId="0" fontId="1" numFmtId="0" xfId="0" applyAlignment="1" applyFont="1">
      <alignment horizontal="center"/>
    </xf>
    <xf borderId="0" fillId="0" fontId="1" numFmtId="0" xfId="0" applyAlignment="1" applyFont="1">
      <alignment horizontal="center" readingOrder="0" vertical="bottom"/>
    </xf>
    <xf borderId="0" fillId="0" fontId="2" numFmtId="0" xfId="0" applyAlignment="1" applyFont="1">
      <alignment readingOrder="0" vertical="top"/>
    </xf>
    <xf borderId="0" fillId="0" fontId="3" numFmtId="0" xfId="0" applyAlignment="1" applyFont="1">
      <alignment horizontal="left" readingOrder="0" vertical="center"/>
    </xf>
    <xf borderId="0" fillId="0" fontId="1" numFmtId="0" xfId="0" applyAlignment="1" applyFont="1">
      <alignment horizontal="left" readingOrder="0" vertical="center"/>
    </xf>
    <xf borderId="1" fillId="0" fontId="1" numFmtId="0" xfId="0" applyAlignment="1" applyBorder="1" applyFont="1">
      <alignment horizontal="left" readingOrder="0" vertical="center"/>
    </xf>
    <xf borderId="0" fillId="0" fontId="1" numFmtId="0" xfId="0" applyAlignment="1" applyFont="1">
      <alignment readingOrder="0"/>
    </xf>
    <xf borderId="0" fillId="0" fontId="4" numFmtId="0" xfId="0" applyAlignment="1" applyFont="1">
      <alignment horizontal="center" readingOrder="0" shrinkToFit="0" wrapText="1"/>
    </xf>
    <xf borderId="0" fillId="0" fontId="1" numFmtId="1" xfId="0" applyAlignment="1" applyFont="1" applyNumberFormat="1">
      <alignment horizontal="center" readingOrder="0"/>
    </xf>
    <xf borderId="0" fillId="0" fontId="1" numFmtId="0" xfId="0" applyAlignment="1" applyFont="1">
      <alignment horizontal="right" readingOrder="0"/>
    </xf>
    <xf borderId="0" fillId="0" fontId="5" numFmtId="0" xfId="0" applyAlignment="1" applyFont="1">
      <alignment readingOrder="0" shrinkToFit="0" vertical="top" wrapText="1"/>
    </xf>
    <xf borderId="0" fillId="0" fontId="6" numFmtId="0" xfId="0" applyAlignment="1" applyFont="1">
      <alignment horizontal="left" readingOrder="0" vertical="top"/>
    </xf>
    <xf borderId="1" fillId="0" fontId="1"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0" fillId="0" fontId="4" numFmtId="0" xfId="0" applyAlignment="1" applyFont="1">
      <alignment horizontal="center" readingOrder="0" shrinkToFit="0" vertical="top" wrapText="1"/>
    </xf>
    <xf borderId="0" fillId="0" fontId="7" numFmtId="0" xfId="0" applyAlignment="1" applyFont="1">
      <alignment readingOrder="0" shrinkToFit="0" wrapText="1"/>
    </xf>
    <xf borderId="0" fillId="0" fontId="8" numFmtId="0" xfId="0" applyAlignment="1" applyFont="1">
      <alignment readingOrder="0" shrinkToFit="0" vertical="top" wrapText="1"/>
    </xf>
    <xf borderId="0" fillId="0" fontId="1" numFmtId="0" xfId="0" applyAlignment="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readingOrder="0" shrinkToFit="0" wrapText="1"/>
    </xf>
    <xf borderId="2" fillId="0" fontId="1" numFmtId="0" xfId="0" applyAlignment="1" applyBorder="1" applyFont="1">
      <alignment readingOrder="0"/>
    </xf>
    <xf borderId="2" fillId="0" fontId="1" numFmtId="0" xfId="0" applyAlignment="1" applyBorder="1" applyFont="1">
      <alignment readingOrder="0" shrinkToFit="0"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xf>
    <xf borderId="2" fillId="0" fontId="4" numFmtId="0" xfId="0" applyAlignment="1" applyBorder="1" applyFont="1">
      <alignment horizontal="center" readingOrder="0" shrinkToFit="0" wrapText="1"/>
    </xf>
    <xf borderId="2" fillId="0" fontId="1" numFmtId="0" xfId="0" applyAlignment="1" applyBorder="1" applyFont="1">
      <alignment horizontal="center" readingOrder="0" shrinkToFit="0" wrapText="1"/>
    </xf>
    <xf borderId="2" fillId="0" fontId="1" numFmtId="1" xfId="0" applyAlignment="1" applyBorder="1" applyFont="1" applyNumberFormat="1">
      <alignment horizontal="center" readingOrder="0"/>
    </xf>
    <xf borderId="2" fillId="0" fontId="1" numFmtId="0" xfId="0" applyAlignment="1" applyBorder="1" applyFont="1">
      <alignment horizontal="center"/>
    </xf>
    <xf borderId="2" fillId="0" fontId="1" numFmtId="0" xfId="0" applyAlignment="1" applyBorder="1" applyFont="1">
      <alignment horizontal="right" readingOrder="0"/>
    </xf>
    <xf borderId="3" fillId="0" fontId="1" numFmtId="0" xfId="0" applyAlignment="1" applyBorder="1" applyFont="1">
      <alignment readingOrder="0" shrinkToFit="0" wrapText="1"/>
    </xf>
    <xf borderId="0" fillId="0" fontId="1" numFmtId="164" xfId="0" applyAlignment="1" applyFont="1" applyNumberFormat="1">
      <alignment horizontal="center" readingOrder="0" shrinkToFit="0" wrapText="1"/>
    </xf>
    <xf borderId="0" fillId="0" fontId="9" numFmtId="0" xfId="0" applyAlignment="1" applyFont="1">
      <alignment horizontal="center" readingOrder="0" shrinkToFit="0" wrapText="1"/>
    </xf>
    <xf borderId="0" fillId="0" fontId="1" numFmtId="9" xfId="0" applyAlignment="1" applyFont="1" applyNumberFormat="1">
      <alignment horizontal="center" readingOrder="0"/>
    </xf>
    <xf borderId="0" fillId="0" fontId="1" numFmtId="0" xfId="0" applyAlignment="1" applyFont="1">
      <alignment horizontal="center" readingOrder="0" shrinkToFit="0" vertical="top" wrapText="1"/>
    </xf>
    <xf borderId="0" fillId="0" fontId="1" numFmtId="0" xfId="0" applyAlignment="1" applyFont="1">
      <alignment horizontal="center" readingOrder="0" vertical="top"/>
    </xf>
    <xf borderId="0" fillId="0" fontId="10" numFmtId="0" xfId="0" applyAlignment="1" applyFont="1">
      <alignment readingOrder="0"/>
    </xf>
    <xf borderId="1" fillId="0" fontId="1" numFmtId="0" xfId="0" applyAlignment="1" applyBorder="1" applyFont="1">
      <alignment readingOrder="0"/>
    </xf>
    <xf borderId="2" fillId="0" fontId="1" numFmtId="164" xfId="0" applyAlignment="1" applyBorder="1" applyFont="1" applyNumberFormat="1">
      <alignment horizontal="center" readingOrder="0" shrinkToFit="0" wrapText="1"/>
    </xf>
    <xf borderId="2" fillId="0" fontId="9" numFmtId="0" xfId="0" applyAlignment="1" applyBorder="1" applyFont="1">
      <alignment horizontal="center" readingOrder="0" shrinkToFit="0" wrapText="1"/>
    </xf>
    <xf borderId="2" fillId="0" fontId="1" numFmtId="0" xfId="0" applyBorder="1" applyFont="1"/>
    <xf borderId="2" fillId="0" fontId="1" numFmtId="0" xfId="0" applyAlignment="1" applyBorder="1" applyFont="1">
      <alignment horizontal="center" readingOrder="0" vertical="center"/>
    </xf>
    <xf borderId="2" fillId="0" fontId="1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0" fillId="0" fontId="12" numFmtId="0" xfId="0" applyAlignment="1" applyFont="1">
      <alignment horizontal="center" readingOrder="0" shrinkToFit="0" wrapText="1"/>
    </xf>
    <xf borderId="1" fillId="0" fontId="1" numFmtId="0" xfId="0" applyBorder="1" applyFont="1"/>
    <xf borderId="0" fillId="0" fontId="1" numFmtId="0" xfId="0" applyAlignment="1" applyFont="1">
      <alignment horizontal="center" readingOrder="0" shrinkToFit="0" vertical="bottom" wrapText="1"/>
    </xf>
    <xf borderId="0" fillId="0" fontId="1" numFmtId="0" xfId="0" applyAlignment="1" applyFont="1">
      <alignment readingOrder="0"/>
    </xf>
    <xf borderId="2" fillId="0" fontId="1" numFmtId="0" xfId="0" applyAlignment="1" applyBorder="1" applyFont="1">
      <alignment horizontal="center" readingOrder="0" vertical="top"/>
    </xf>
    <xf borderId="3" fillId="0" fontId="1" numFmtId="0" xfId="0" applyBorder="1" applyFont="1"/>
    <xf borderId="0" fillId="0" fontId="13" numFmtId="0" xfId="0" applyAlignment="1" applyFont="1">
      <alignment readingOrder="0" shrinkToFit="0" wrapText="1"/>
    </xf>
    <xf borderId="0" fillId="8" fontId="14" numFmtId="164" xfId="0" applyAlignment="1" applyFill="1" applyFont="1" applyNumberFormat="1">
      <alignment readingOrder="0"/>
    </xf>
    <xf borderId="0" fillId="0" fontId="1" numFmtId="0" xfId="0" applyAlignment="1" applyFont="1">
      <alignment shrinkToFit="0" wrapText="1"/>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4" fillId="9" fontId="18" numFmtId="0" xfId="0" applyAlignment="1" applyBorder="1" applyFill="1" applyFont="1">
      <alignment horizontal="center" shrinkToFit="0" wrapText="1"/>
    </xf>
    <xf borderId="4" fillId="9" fontId="19" numFmtId="0" xfId="0" applyAlignment="1" applyBorder="1" applyFont="1">
      <alignment horizontal="center" shrinkToFit="0" wrapText="1"/>
    </xf>
    <xf borderId="4" fillId="9" fontId="19" numFmtId="0" xfId="0" applyAlignment="1" applyBorder="1" applyFont="1">
      <alignment horizontal="center" readingOrder="0" shrinkToFit="0" wrapText="1"/>
    </xf>
    <xf borderId="4" fillId="9" fontId="19" numFmtId="49" xfId="0" applyAlignment="1" applyBorder="1" applyFont="1" applyNumberFormat="1">
      <alignment horizontal="center" shrinkToFit="0" wrapText="1"/>
    </xf>
    <xf borderId="4" fillId="9" fontId="19" numFmtId="49" xfId="0" applyAlignment="1" applyBorder="1" applyFont="1" applyNumberFormat="1">
      <alignment horizontal="center" readingOrder="0" shrinkToFit="0" wrapText="1"/>
    </xf>
    <xf borderId="4" fillId="0" fontId="20" numFmtId="0" xfId="0" applyAlignment="1" applyBorder="1" applyFont="1">
      <alignment horizontal="center" readingOrder="0" shrinkToFit="0" vertical="bottom" wrapText="1"/>
    </xf>
    <xf borderId="0" fillId="0" fontId="21" numFmtId="0" xfId="0" applyAlignment="1" applyFont="1">
      <alignment vertical="bottom"/>
    </xf>
    <xf borderId="0" fillId="0" fontId="20" numFmtId="0" xfId="0" applyAlignment="1" applyFont="1">
      <alignment horizontal="center" readingOrder="0" vertical="bottom"/>
    </xf>
    <xf borderId="4" fillId="0" fontId="20" numFmtId="0" xfId="0" applyAlignment="1" applyBorder="1" applyFont="1">
      <alignment horizontal="center" readingOrder="0" vertical="bottom"/>
    </xf>
    <xf borderId="4" fillId="0" fontId="20" numFmtId="0" xfId="0" applyAlignment="1" applyBorder="1" applyFont="1">
      <alignment readingOrder="0" vertical="bottom"/>
    </xf>
    <xf borderId="4" fillId="0" fontId="21" numFmtId="0" xfId="0" applyAlignment="1" applyBorder="1" applyFont="1">
      <alignment readingOrder="0" shrinkToFit="0" vertical="center" wrapText="1"/>
    </xf>
    <xf borderId="4" fillId="0" fontId="22" numFmtId="0" xfId="0" applyAlignment="1" applyBorder="1" applyFont="1">
      <alignment vertical="bottom"/>
    </xf>
    <xf borderId="4" fillId="0" fontId="21" numFmtId="0" xfId="0" applyAlignment="1" applyBorder="1" applyFont="1">
      <alignment vertical="bottom"/>
    </xf>
    <xf borderId="4" fillId="5" fontId="21" numFmtId="0" xfId="0" applyAlignment="1" applyBorder="1" applyFont="1">
      <alignment horizontal="right" readingOrder="0" vertical="bottom"/>
    </xf>
    <xf borderId="4" fillId="0" fontId="21" numFmtId="0" xfId="0" applyAlignment="1" applyBorder="1" applyFont="1">
      <alignment readingOrder="0" vertical="bottom"/>
    </xf>
    <xf borderId="4" fillId="0" fontId="22" numFmtId="0" xfId="0" applyAlignment="1" applyBorder="1" applyFont="1">
      <alignment readingOrder="0" shrinkToFit="0" vertical="bottom" wrapText="1"/>
    </xf>
    <xf borderId="4" fillId="0" fontId="22" numFmtId="0" xfId="0" applyAlignment="1" applyBorder="1" applyFont="1">
      <alignment shrinkToFit="0" vertical="bottom" wrapText="1"/>
    </xf>
    <xf borderId="4" fillId="0" fontId="23" numFmtId="0" xfId="0" applyAlignment="1" applyBorder="1" applyFont="1">
      <alignment readingOrder="0" shrinkToFit="0" vertical="bottom" wrapText="1"/>
    </xf>
    <xf borderId="4" fillId="0" fontId="20" numFmtId="0" xfId="0" applyAlignment="1" applyBorder="1" applyFont="1">
      <alignment horizontal="center" vertical="bottom"/>
    </xf>
    <xf borderId="4" fillId="0" fontId="21" numFmtId="0" xfId="0" applyAlignment="1" applyBorder="1" applyFont="1">
      <alignment shrinkToFit="0" vertical="bottom" wrapText="1"/>
    </xf>
    <xf borderId="4" fillId="0" fontId="21" numFmtId="0" xfId="0" applyAlignment="1" applyBorder="1" applyFont="1">
      <alignment horizontal="right" readingOrder="0" vertical="bottom"/>
    </xf>
    <xf borderId="4" fillId="0" fontId="24" numFmtId="0" xfId="0" applyAlignment="1" applyBorder="1" applyFont="1">
      <alignment shrinkToFit="0" vertical="bottom" wrapText="1"/>
    </xf>
    <xf borderId="4" fillId="0" fontId="1" numFmtId="0" xfId="0" applyAlignment="1" applyBorder="1" applyFont="1">
      <alignment horizontal="center" readingOrder="0"/>
    </xf>
    <xf borderId="4" fillId="0" fontId="1" numFmtId="0" xfId="0" applyBorder="1" applyFont="1"/>
    <xf borderId="4" fillId="0" fontId="1" numFmtId="0" xfId="0" applyAlignment="1" applyBorder="1" applyFont="1">
      <alignment readingOrder="0"/>
    </xf>
    <xf borderId="4" fillId="0" fontId="1" numFmtId="0" xfId="0" applyAlignment="1" applyBorder="1" applyFont="1">
      <alignment horizontal="right" readingOrder="0"/>
    </xf>
    <xf borderId="0" fillId="0" fontId="21" numFmtId="0" xfId="0" applyAlignment="1" applyFont="1">
      <alignment readingOrder="0" vertical="bottom"/>
    </xf>
    <xf borderId="4" fillId="0" fontId="20" numFmtId="0" xfId="0" applyAlignment="1" applyBorder="1" applyFont="1">
      <alignment vertical="bottom"/>
    </xf>
    <xf borderId="4" fillId="0" fontId="21" numFmtId="0" xfId="0" applyAlignment="1" applyBorder="1" applyFont="1">
      <alignment horizontal="left" shrinkToFit="0" vertical="bottom" wrapText="1"/>
    </xf>
    <xf borderId="4" fillId="0" fontId="21" numFmtId="0" xfId="0" applyAlignment="1" applyBorder="1" applyFont="1">
      <alignment horizontal="left" readingOrder="0" shrinkToFit="0" vertical="bottom" wrapText="1"/>
    </xf>
    <xf borderId="4" fillId="5" fontId="21" numFmtId="0" xfId="0" applyAlignment="1" applyBorder="1" applyFont="1">
      <alignment readingOrder="0" vertical="bottom"/>
    </xf>
    <xf borderId="4" fillId="0" fontId="21" numFmtId="0" xfId="0" applyAlignment="1" applyBorder="1" applyFont="1">
      <alignment horizontal="right" vertical="bottom"/>
    </xf>
    <xf borderId="4" fillId="0" fontId="25" numFmtId="0" xfId="0" applyAlignment="1" applyBorder="1" applyFont="1">
      <alignment readingOrder="0" shrinkToFit="0" vertical="bottom" wrapText="1"/>
    </xf>
    <xf borderId="4" fillId="0" fontId="20" numFmtId="0" xfId="0" applyAlignment="1" applyBorder="1" applyFont="1">
      <alignment readingOrder="0" shrinkToFit="0" vertical="bottom" wrapText="1"/>
    </xf>
    <xf borderId="0" fillId="0" fontId="21" numFmtId="0" xfId="0" applyAlignment="1" applyFont="1">
      <alignment vertical="bottom"/>
    </xf>
    <xf borderId="4" fillId="0" fontId="21" numFmtId="0" xfId="0" applyAlignment="1" applyBorder="1" applyFont="1">
      <alignment horizontal="right" shrinkToFit="0" vertical="bottom" wrapText="1"/>
    </xf>
    <xf borderId="4" fillId="0" fontId="21" numFmtId="0" xfId="0" applyAlignment="1" applyBorder="1" applyFont="1">
      <alignment shrinkToFit="0" vertical="bottom" wrapText="1"/>
    </xf>
    <xf borderId="4" fillId="0" fontId="26" numFmtId="0" xfId="0" applyAlignment="1" applyBorder="1" applyFont="1">
      <alignment shrinkToFit="0" vertical="bottom" wrapText="1"/>
    </xf>
    <xf borderId="4" fillId="0" fontId="22" numFmtId="0" xfId="0" applyAlignment="1" applyBorder="1" applyFont="1">
      <alignment readingOrder="0" vertical="bottom"/>
    </xf>
    <xf borderId="4" fillId="0" fontId="20" numFmtId="0" xfId="0" applyAlignment="1" applyBorder="1" applyFont="1">
      <alignment horizontal="center" shrinkToFit="0" vertical="bottom" wrapText="1"/>
    </xf>
    <xf borderId="4" fillId="0" fontId="22" numFmtId="49" xfId="0" applyAlignment="1" applyBorder="1" applyFont="1" applyNumberFormat="1">
      <alignment horizontal="right" shrinkToFit="0" vertical="bottom" wrapText="1"/>
    </xf>
    <xf borderId="4" fillId="5" fontId="22" numFmtId="49" xfId="0" applyAlignment="1" applyBorder="1" applyFont="1" applyNumberFormat="1">
      <alignment shrinkToFit="0" vertical="bottom" wrapText="1"/>
    </xf>
    <xf borderId="4" fillId="0" fontId="22" numFmtId="49" xfId="0" applyAlignment="1" applyBorder="1" applyFont="1" applyNumberFormat="1">
      <alignment vertical="bottom"/>
    </xf>
    <xf borderId="4" fillId="0" fontId="22" numFmtId="0" xfId="0" applyAlignment="1" applyBorder="1" applyFont="1">
      <alignment horizontal="right" shrinkToFit="0" vertical="bottom" wrapText="1"/>
    </xf>
    <xf borderId="0" fillId="8" fontId="27" numFmtId="0" xfId="0" applyAlignment="1" applyFont="1">
      <alignment readingOrder="0"/>
    </xf>
    <xf borderId="0" fillId="8" fontId="28" numFmtId="0" xfId="0" applyAlignment="1" applyFont="1">
      <alignment horizontal="left" readingOrder="0" vertical="bottom"/>
    </xf>
    <xf borderId="4" fillId="0" fontId="29" numFmtId="0" xfId="0" applyAlignment="1" applyBorder="1" applyFont="1">
      <alignment vertical="bottom"/>
    </xf>
    <xf borderId="4" fillId="0" fontId="30" numFmtId="0" xfId="0" applyAlignment="1" applyBorder="1" applyFont="1">
      <alignment shrinkToFit="0" vertical="bottom" wrapText="1"/>
    </xf>
    <xf borderId="4" fillId="0" fontId="20" numFmtId="0" xfId="0" applyAlignment="1" applyBorder="1" applyFont="1">
      <alignment shrinkToFit="0" vertical="bottom" wrapText="1"/>
    </xf>
    <xf borderId="4" fillId="0" fontId="31" numFmtId="0" xfId="0" applyAlignment="1" applyBorder="1" applyFont="1">
      <alignment shrinkToFit="0" vertical="bottom" wrapText="1"/>
    </xf>
    <xf borderId="4" fillId="0" fontId="22" numFmtId="49" xfId="0" applyAlignment="1" applyBorder="1" applyFont="1" applyNumberFormat="1">
      <alignment horizontal="right" readingOrder="0" shrinkToFit="0" vertical="bottom" wrapText="1"/>
    </xf>
    <xf borderId="4" fillId="0" fontId="22" numFmtId="49" xfId="0" applyAlignment="1" applyBorder="1" applyFont="1" applyNumberFormat="1">
      <alignment shrinkToFit="0" vertical="bottom" wrapText="1"/>
    </xf>
    <xf borderId="0" fillId="0" fontId="1" numFmtId="0" xfId="0" applyFont="1"/>
    <xf borderId="0" fillId="4" fontId="1" numFmtId="0" xfId="0" applyFont="1"/>
    <xf borderId="0" fillId="0" fontId="1" numFmtId="0" xfId="0" applyAlignment="1" applyFont="1">
      <alignment horizontal="left" readingOrder="0"/>
    </xf>
    <xf borderId="0" fillId="0" fontId="1" numFmtId="0" xfId="0" applyAlignment="1" applyFont="1">
      <alignment horizontal="left"/>
    </xf>
    <xf borderId="0" fillId="0" fontId="1" numFmtId="2" xfId="0" applyAlignment="1" applyFont="1" applyNumberFormat="1">
      <alignment horizontal="left"/>
    </xf>
    <xf borderId="0" fillId="4" fontId="1" numFmtId="0" xfId="0" applyAlignment="1" applyFont="1">
      <alignment readingOrder="0"/>
    </xf>
    <xf borderId="0" fillId="0" fontId="1" numFmtId="165" xfId="0" applyAlignment="1" applyFont="1" applyNumberFormat="1">
      <alignment horizontal="left"/>
    </xf>
    <xf borderId="0" fillId="0" fontId="2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u/0/folders/1ij7AUYx8Fi4RG1AMtG-WFDpLnHO8msBU" TargetMode="External"/><Relationship Id="rId22" Type="http://schemas.openxmlformats.org/officeDocument/2006/relationships/hyperlink" Target="https://www.digikey.com/en/products/detail/texas-instruments/TLV75533PDYDR/22531567?s=N4IgTCBcDaICoBkBqB2ArGgzJgCgEQE08AlEAXQF8g" TargetMode="External"/><Relationship Id="rId21" Type="http://schemas.openxmlformats.org/officeDocument/2006/relationships/hyperlink" Target="https://docs.google.com/document/d/1oEgNGvVG_-55sK4kfF59cSOM-K30eRwwsokSswShEp4/edit?tab=t.0" TargetMode="External"/><Relationship Id="rId24" Type="http://schemas.openxmlformats.org/officeDocument/2006/relationships/hyperlink" Target="https://drive.google.com/drive/folders/18ZPus5rWx-Za64Z5Ci7vNzVwEuhcWyIr" TargetMode="External"/><Relationship Id="rId23" Type="http://schemas.openxmlformats.org/officeDocument/2006/relationships/hyperlink" Target="https://drive.google.com/drive/u/0/folders/1_81v0_oRvqxmoDHrnWV0DEFLloFRnqxm" TargetMode="External"/><Relationship Id="rId1" Type="http://schemas.openxmlformats.org/officeDocument/2006/relationships/hyperlink" Target="https://chinahobbyline.com/collections/cnhl-voltage-14-8v-4s-lipo-batteries/products/cnhl-6200mah-14-8v-4s-30c-lipo-battery-with-xt90-plug?_pos=8&amp;_fid=eee03ed42&amp;_ss=c" TargetMode="External"/><Relationship Id="rId2" Type="http://schemas.openxmlformats.org/officeDocument/2006/relationships/hyperlink" Target="https://chinahobbyline.com/collections/cnhl-voltage-14-8v-4s-lipo-batteries/products/cnhl-6200mah-14-8v-4s-30c-lipo-battery-with-xt90-plug?_pos=8&amp;_fid=eee03ed42&amp;_ss=c" TargetMode="External"/><Relationship Id="rId3" Type="http://schemas.openxmlformats.org/officeDocument/2006/relationships/hyperlink" Target="https://docs.google.com/document/d/13BQ7PQnixL5HRD4vcnCwSoZ17bO2JmQ23-hnail3f_I/edit?tab=t.0" TargetMode="External"/><Relationship Id="rId4"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9" Type="http://schemas.openxmlformats.org/officeDocument/2006/relationships/hyperlink" Target="https://www.digikey.com/en/products/detail/diodes-incorporated/AP63300WU-7/10491510" TargetMode="External"/><Relationship Id="rId26" Type="http://schemas.openxmlformats.org/officeDocument/2006/relationships/hyperlink" Target="https://docs.google.com/document/d/186rYK0YnsifaJs2RieBhUgeNdw8-rii_Ggdu0bvtwEw/edit?tab=t.0" TargetMode="External"/><Relationship Id="rId25" Type="http://schemas.openxmlformats.org/officeDocument/2006/relationships/hyperlink" Target="https://docs.google.com/document/d/1uBLUYh11gR3F2JG5l_bQqe_JnSmMHNd37-J3TzYSs0s/edit?tab=t.0" TargetMode="External"/><Relationship Id="rId28"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27"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5" Type="http://schemas.openxmlformats.org/officeDocument/2006/relationships/hyperlink" Target="https://www.amazon.com/RC-Brushless-Electric-Controller-bullet/dp/B0754H7XZZ?th=1" TargetMode="External"/><Relationship Id="rId6" Type="http://schemas.openxmlformats.org/officeDocument/2006/relationships/hyperlink" Target="https://www.amazon.com/RC-Brushless-Electric-Controller-bullet/dp/B0754H7XZZ?th=1" TargetMode="External"/><Relationship Id="rId29" Type="http://schemas.openxmlformats.org/officeDocument/2006/relationships/hyperlink" Target="https://drive.google.com/drive/folders/1SeZpFCq1jOZTPZZtfmEA3qCv648KZdC8" TargetMode="External"/><Relationship Id="rId7" Type="http://schemas.openxmlformats.org/officeDocument/2006/relationships/hyperlink" Target="https://drive.google.com/drive/u/0/folders/1v3HOcfDkCG08hydkAwiFy88Z6sSVDIoy" TargetMode="External"/><Relationship Id="rId8" Type="http://schemas.openxmlformats.org/officeDocument/2006/relationships/hyperlink" Target="https://docs.google.com/document/d/16EDnAHiTcgNvPhUuXfGpH5qLadYG68Q37WCe-nAsvZ8/edit?tab=t.0" TargetMode="External"/><Relationship Id="rId31" Type="http://schemas.openxmlformats.org/officeDocument/2006/relationships/hyperlink" Target="https://drive.google.com/drive/folders/16PqZMUmhjEajuRPCSwPU6lDnbKGAXtiw" TargetMode="External"/><Relationship Id="rId30" Type="http://schemas.openxmlformats.org/officeDocument/2006/relationships/hyperlink" Target="https://docs.google.com/document/d/1k4ZxfbQkCt_RZczf__P-YZC0v3f92IhxXLAHnAe69PE/edit?tab=t.0" TargetMode="External"/><Relationship Id="rId11" Type="http://schemas.openxmlformats.org/officeDocument/2006/relationships/hyperlink" Target="https://drive.google.com/drive/folders/17Tw_hd8-7eAD8DBklDislGriO99LYTNb" TargetMode="External"/><Relationship Id="rId33" Type="http://schemas.openxmlformats.org/officeDocument/2006/relationships/hyperlink" Target="https://docs.google.com/spreadsheets/d/1d4GywLl9_E9B6HAGy_M0x8jvDwejFZVBtnJ3f2Tjn1I/edit?gid=0" TargetMode="External"/><Relationship Id="rId10" Type="http://schemas.openxmlformats.org/officeDocument/2006/relationships/hyperlink" Target="https://drive.google.com/drive/u/0/folders/1a5-4cdKhiVMgbkTae8DDaRTtWuyIa1Bq" TargetMode="External"/><Relationship Id="rId32" Type="http://schemas.openxmlformats.org/officeDocument/2006/relationships/hyperlink" Target="https://docs.google.com/document/d/1eKAsBc72HkK4ubr__D_FUMPEZeg3ejlmYCY3Pa8npkQ/edit?tab=t.0" TargetMode="External"/><Relationship Id="rId13" Type="http://schemas.openxmlformats.org/officeDocument/2006/relationships/hyperlink" Target="https://docs.google.com/document/d/1oEgNGvVG_-55sK4kfF59cSOM-K30eRwwsokSswShEp4/edit?tab=t.0" TargetMode="External"/><Relationship Id="rId35" Type="http://schemas.openxmlformats.org/officeDocument/2006/relationships/hyperlink" Target="https://tracewidthcalculator.com/" TargetMode="External"/><Relationship Id="rId12" Type="http://schemas.openxmlformats.org/officeDocument/2006/relationships/hyperlink" Target="https://drive.google.com/drive/u/0/folders/1ij7AUYx8Fi4RG1AMtG-WFDpLnHO8msBU" TargetMode="External"/><Relationship Id="rId34" Type="http://schemas.openxmlformats.org/officeDocument/2006/relationships/hyperlink" Target="https://www.advancedpcb.com/en-us/tools/trace-width-calculator/" TargetMode="External"/><Relationship Id="rId15" Type="http://schemas.openxmlformats.org/officeDocument/2006/relationships/hyperlink" Target="https://drive.google.com/drive/u/0/folders/1_81v0_oRvqxmoDHrnWV0DEFLloFRnqxm" TargetMode="External"/><Relationship Id="rId14" Type="http://schemas.openxmlformats.org/officeDocument/2006/relationships/hyperlink" Target="https://www.digikey.com/en/products/detail/texas-instruments/TLV75533PDYDR/22531567?s=N4IgTCBcDaICoBkBqB2ArGgzJgCgEQE08AlEAXQF8g" TargetMode="External"/><Relationship Id="rId36" Type="http://schemas.openxmlformats.org/officeDocument/2006/relationships/drawing" Target="../drawings/drawing1.xml"/><Relationship Id="rId17" Type="http://schemas.openxmlformats.org/officeDocument/2006/relationships/hyperlink" Target="https://docs.google.com/document/d/1ONgtAqB95VsvPedvpWRmap_yJkLvS0_XCnZ9lVkM3zE/edit?tab=t.0" TargetMode="External"/><Relationship Id="rId16" Type="http://schemas.openxmlformats.org/officeDocument/2006/relationships/hyperlink" Target="https://drive.google.com/drive/folders/13K0B-ypS7Gk6d7YwSrRNKJfsF120EFao" TargetMode="External"/><Relationship Id="rId19" Type="http://schemas.openxmlformats.org/officeDocument/2006/relationships/hyperlink" Target="https://docs.google.com/document/d/1NMmhh-Yh2119CAi3HEptOx2RkKPUScvKhlriqZeASBo/edit?tab=t.0" TargetMode="External"/><Relationship Id="rId18" Type="http://schemas.openxmlformats.org/officeDocument/2006/relationships/hyperlink" Target="https://drive.google.com/drive/folders/1KouXzasUXyFXZFctQanwq-t4oPLXM06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igikey.com/en/products/detail/murata-electronics/GRM21BR61H106KE43L/10326316" TargetMode="External"/><Relationship Id="rId2" Type="http://schemas.openxmlformats.org/officeDocument/2006/relationships/hyperlink" Target="https://www.digikey.com/en/products/detail/diodes-incorporated/AP62300TWU-7/12702558" TargetMode="External"/><Relationship Id="rId3" Type="http://schemas.openxmlformats.org/officeDocument/2006/relationships/hyperlink" Target="https://www.digikey.com/en/products/detail/samsung-electro-mechanics/CL05A104KA5NNNC/3886701" TargetMode="External"/><Relationship Id="rId4" Type="http://schemas.openxmlformats.org/officeDocument/2006/relationships/hyperlink" Target="https://www.digikey.com/en/products/detail/murata-electronics/LQM21PN3R3MGRD/4359175" TargetMode="External"/><Relationship Id="rId9" Type="http://schemas.openxmlformats.org/officeDocument/2006/relationships/hyperlink" Target="https://www.digikey.com/en/products/detail/texas-instruments/TLV75533PDYDR/22531567?s=N4IgTCBcDaICoBkBqB2ArGgzJgCgEQE08AlEAXQF8g" TargetMode="External"/><Relationship Id="rId5" Type="http://schemas.openxmlformats.org/officeDocument/2006/relationships/hyperlink" Target="https://www.digikey.com/en/products/detail/yageo/CC0402JRNPO9BN101/302758" TargetMode="External"/><Relationship Id="rId6" Type="http://schemas.openxmlformats.org/officeDocument/2006/relationships/hyperlink" Target="https://www.digikey.com/en/products/detail/panasonic-electronic-components/ERJ-2RKF5622X/192409" TargetMode="External"/><Relationship Id="rId7" Type="http://schemas.openxmlformats.org/officeDocument/2006/relationships/hyperlink" Target="https://www.digikey.com/en/products/detail/panasonic-electronic-components/ERA-2AEB103X/1706029" TargetMode="External"/><Relationship Id="rId8" Type="http://schemas.openxmlformats.org/officeDocument/2006/relationships/hyperlink" Target="https://www.digikey.com/en/products/detail/samsung-electro-mechanics/CL21A226MOQNNNE/3888567" TargetMode="External"/><Relationship Id="rId11" Type="http://schemas.openxmlformats.org/officeDocument/2006/relationships/hyperlink" Target="https://www.digikey.com/en/products/detail/mcc-micro-commercial-components/SM5817PL-TP/1793251" TargetMode="External"/><Relationship Id="rId10" Type="http://schemas.openxmlformats.org/officeDocument/2006/relationships/hyperlink" Target="https://www.digikey.com/en/products/detail/samsung-electro-mechanics/CL05A105KP5NNNC/3886734" TargetMode="External"/><Relationship Id="rId13" Type="http://schemas.openxmlformats.org/officeDocument/2006/relationships/hyperlink" Target="https://www.digikey.com/en/products/detail/chemi-con/ekyc250ell821mj16s/10486526" TargetMode="External"/><Relationship Id="rId12" Type="http://schemas.openxmlformats.org/officeDocument/2006/relationships/hyperlink" Target="https://www.digikey.com/en/products/detail/epcos-tdk-electronics/B41866C5108M000/5844975?s=N4IgTCBcDaIEIBYCMAOAbGgwgViQBhQFk8SQBdAXyA" TargetMode="External"/><Relationship Id="rId15" Type="http://schemas.openxmlformats.org/officeDocument/2006/relationships/hyperlink" Target="https://www.digikey.com/en/products/detail/chemi-con/EGXF250ELL911MK15S/6204395?s=N4IgTCBcDaIKIHEAaAxMBWADHAMjgnAIyECyA0oegMogC6AvkA" TargetMode="External"/><Relationship Id="rId14" Type="http://schemas.openxmlformats.org/officeDocument/2006/relationships/hyperlink" Target="https://www.digikey.com/en/products/detail/chemi-con/EGXF250ELL751MJ16S/6204394" TargetMode="External"/><Relationship Id="rId17" Type="http://schemas.openxmlformats.org/officeDocument/2006/relationships/drawing" Target="../drawings/drawing2.xml"/><Relationship Id="rId16" Type="http://schemas.openxmlformats.org/officeDocument/2006/relationships/hyperlink" Target="https://www.digikey.com/en/products/detail/epcos-tdk-electronics/B41858C5477M000/354359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digikey.com/en/products/detail/murata-electronics/GRM21BC81D106KE51L/5027585" TargetMode="External"/><Relationship Id="rId2" Type="http://schemas.openxmlformats.org/officeDocument/2006/relationships/hyperlink" Target="https://www.digikey.com/en/products/detail/diodes-incorporated/AP62300TWU-7/12702558" TargetMode="External"/><Relationship Id="rId3" Type="http://schemas.openxmlformats.org/officeDocument/2006/relationships/hyperlink" Target="https://www.digikey.com/en/products/detail/samsung-electro-mechanics/CL05A104KA5NNNC/3886701" TargetMode="External"/><Relationship Id="rId4" Type="http://schemas.openxmlformats.org/officeDocument/2006/relationships/hyperlink" Target="https://www.digikey.com/en/products/detail/bourns-inc/CWF1610-3R3K/14644685" TargetMode="External"/><Relationship Id="rId9" Type="http://schemas.openxmlformats.org/officeDocument/2006/relationships/hyperlink" Target="https://www.digikey.com/en/products/detail/texas-instruments/TLV75533PDYDR/22531567?s=N4IgTCBcDaICoBkBqB2ArGgzJgCgEQE08AlEAXQF8g" TargetMode="External"/><Relationship Id="rId5" Type="http://schemas.openxmlformats.org/officeDocument/2006/relationships/hyperlink" Target="https://www.digikey.com/en/products/detail/w%C3%BCrth-elektronik/885012005013/5453286" TargetMode="External"/><Relationship Id="rId6" Type="http://schemas.openxmlformats.org/officeDocument/2006/relationships/hyperlink" Target="https://www.digikey.com/en/products/detail/panasonic-electronic-components/ERJ-2RKF5622X/192409" TargetMode="External"/><Relationship Id="rId7" Type="http://schemas.openxmlformats.org/officeDocument/2006/relationships/hyperlink" Target="https://www.digikey.com/en/products/detail/panasonic-electronic-components/ERA-2AEB103X/1706029" TargetMode="External"/><Relationship Id="rId8" Type="http://schemas.openxmlformats.org/officeDocument/2006/relationships/hyperlink" Target="https://www.digikey.com/en/products/detail/samsung-electro-mechanics/CL05A226MQ5N6J8/7320595" TargetMode="External"/><Relationship Id="rId11" Type="http://schemas.openxmlformats.org/officeDocument/2006/relationships/hyperlink" Target="https://www.digikey.com/en/products/detail/onsemi/MBR0520LT1G/918574?msockid=3be78e2c27cf64fd084798ba26146572" TargetMode="External"/><Relationship Id="rId10" Type="http://schemas.openxmlformats.org/officeDocument/2006/relationships/hyperlink" Target="https://www.digikey.com/en/products/detail/samsung-electro-mechanics/CL05A105KP5NNNC/3886734" TargetMode="External"/><Relationship Id="rId1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x5aC58c-gUP96v3wH80yv_gIQ1_BFy-2"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25"/>
    <col customWidth="1" min="2" max="2" width="26.13"/>
    <col customWidth="1" min="3" max="4" width="10.63"/>
    <col customWidth="1" min="5" max="6" width="15.63"/>
    <col customWidth="1" min="7" max="7" width="40.75"/>
    <col customWidth="1" min="8" max="9" width="20.5"/>
    <col customWidth="1" min="10" max="10" width="14.13"/>
    <col customWidth="1" min="11" max="11" width="13.88"/>
    <col customWidth="1" min="12" max="12" width="17.0"/>
    <col customWidth="1" min="13" max="13" width="17.5"/>
    <col customWidth="1" min="14" max="14" width="7.75"/>
    <col customWidth="1" min="15" max="16" width="13.0"/>
    <col customWidth="1" min="17" max="17" width="14.75"/>
    <col customWidth="1" min="18" max="20" width="21.0"/>
    <col customWidth="1" min="21" max="21" width="14.75"/>
    <col customWidth="1" min="22" max="24" width="22.63"/>
    <col customWidth="1" min="25" max="25" width="23.5"/>
    <col customWidth="1" min="26" max="26" width="23.75"/>
    <col customWidth="1" min="27" max="27" width="22.25"/>
    <col customWidth="1" min="28" max="28" width="20.88"/>
    <col customWidth="1" min="29" max="29" width="29.88"/>
    <col customWidth="1" min="30" max="31" width="20.88"/>
    <col customWidth="1" min="32" max="34" width="28.88"/>
  </cols>
  <sheetData>
    <row r="1">
      <c r="A1" s="1" t="s">
        <v>0</v>
      </c>
      <c r="B1" s="1"/>
      <c r="C1" s="1"/>
      <c r="D1" s="1"/>
      <c r="E1" s="2" t="s">
        <v>1</v>
      </c>
      <c r="F1" s="2"/>
      <c r="G1" s="2"/>
      <c r="H1" s="2"/>
      <c r="I1" s="3"/>
      <c r="J1" s="3"/>
      <c r="K1" s="3"/>
      <c r="L1" s="3"/>
      <c r="M1" s="2"/>
      <c r="N1" s="2"/>
      <c r="O1" s="4" t="s">
        <v>2</v>
      </c>
      <c r="P1" s="5"/>
      <c r="Q1" s="4"/>
      <c r="R1" s="5"/>
      <c r="S1" s="5"/>
      <c r="T1" s="5"/>
      <c r="U1" s="6" t="s">
        <v>3</v>
      </c>
      <c r="V1" s="7"/>
      <c r="W1" s="7"/>
      <c r="X1" s="7"/>
      <c r="Y1" s="8" t="s">
        <v>4</v>
      </c>
      <c r="Z1" s="9"/>
      <c r="AA1" s="9"/>
      <c r="AB1" s="10" t="s">
        <v>5</v>
      </c>
      <c r="AE1" s="10"/>
      <c r="AF1" s="10"/>
      <c r="AG1" s="10"/>
      <c r="AH1" s="10"/>
    </row>
    <row r="2">
      <c r="A2" s="11" t="s">
        <v>6</v>
      </c>
      <c r="B2" s="11" t="s">
        <v>7</v>
      </c>
      <c r="C2" s="11" t="s">
        <v>8</v>
      </c>
      <c r="D2" s="11" t="s">
        <v>9</v>
      </c>
      <c r="E2" s="2" t="s">
        <v>10</v>
      </c>
      <c r="F2" s="2" t="s">
        <v>11</v>
      </c>
      <c r="G2" s="2" t="s">
        <v>12</v>
      </c>
      <c r="H2" s="12" t="s">
        <v>13</v>
      </c>
      <c r="I2" s="13" t="s">
        <v>14</v>
      </c>
      <c r="J2" s="13" t="s">
        <v>15</v>
      </c>
      <c r="K2" s="13" t="s">
        <v>16</v>
      </c>
      <c r="L2" s="13" t="s">
        <v>17</v>
      </c>
      <c r="M2" s="12" t="s">
        <v>18</v>
      </c>
      <c r="N2" s="12" t="s">
        <v>19</v>
      </c>
      <c r="O2" s="5" t="s">
        <v>20</v>
      </c>
      <c r="P2" s="5" t="s">
        <v>21</v>
      </c>
      <c r="Q2" s="5" t="s">
        <v>22</v>
      </c>
      <c r="R2" s="14" t="s">
        <v>23</v>
      </c>
      <c r="S2" s="14" t="s">
        <v>24</v>
      </c>
      <c r="T2" s="14" t="s">
        <v>25</v>
      </c>
      <c r="U2" s="7" t="s">
        <v>26</v>
      </c>
      <c r="V2" s="7" t="s">
        <v>27</v>
      </c>
      <c r="W2" s="7" t="s">
        <v>28</v>
      </c>
      <c r="X2" s="7" t="s">
        <v>29</v>
      </c>
      <c r="Y2" s="15" t="s">
        <v>30</v>
      </c>
      <c r="Z2" s="15" t="s">
        <v>31</v>
      </c>
      <c r="AA2" s="15" t="s">
        <v>32</v>
      </c>
      <c r="AB2" s="10" t="s">
        <v>33</v>
      </c>
      <c r="AC2" s="10" t="s">
        <v>34</v>
      </c>
      <c r="AD2" s="10" t="s">
        <v>35</v>
      </c>
      <c r="AE2" s="10" t="s">
        <v>36</v>
      </c>
      <c r="AF2" s="10" t="s">
        <v>37</v>
      </c>
      <c r="AG2" s="10" t="s">
        <v>38</v>
      </c>
      <c r="AH2" s="10" t="s">
        <v>39</v>
      </c>
    </row>
    <row r="3">
      <c r="A3" s="16" t="s">
        <v>40</v>
      </c>
      <c r="B3" s="17" t="s">
        <v>41</v>
      </c>
      <c r="C3" s="18"/>
      <c r="D3" s="18" t="s">
        <v>42</v>
      </c>
      <c r="E3" s="19"/>
      <c r="F3" s="19"/>
      <c r="G3" s="20" t="s">
        <v>43</v>
      </c>
      <c r="H3" s="21" t="s">
        <v>44</v>
      </c>
      <c r="I3" s="21" t="s">
        <v>45</v>
      </c>
      <c r="J3" s="22"/>
      <c r="K3" s="22"/>
      <c r="L3" s="22"/>
      <c r="M3" s="23"/>
      <c r="N3" s="21">
        <v>100.0</v>
      </c>
      <c r="O3" s="19"/>
      <c r="P3" s="21">
        <v>100.0</v>
      </c>
      <c r="Q3" s="24" t="s">
        <v>46</v>
      </c>
      <c r="R3" s="23"/>
      <c r="S3" s="23"/>
      <c r="T3" s="23"/>
      <c r="U3" s="23"/>
      <c r="V3" s="21"/>
      <c r="W3" s="21"/>
      <c r="X3" s="21"/>
      <c r="Y3" s="21"/>
      <c r="Z3" s="21"/>
      <c r="AA3" s="21"/>
      <c r="AB3" s="19"/>
      <c r="AC3" s="17" t="s">
        <v>47</v>
      </c>
      <c r="AD3" s="25" t="s">
        <v>48</v>
      </c>
      <c r="AE3" s="19"/>
      <c r="AF3" s="26" t="s">
        <v>49</v>
      </c>
      <c r="AG3" s="27"/>
      <c r="AH3" s="28"/>
    </row>
    <row r="4">
      <c r="A4" s="29" t="s">
        <v>50</v>
      </c>
      <c r="B4" s="18" t="s">
        <v>51</v>
      </c>
      <c r="C4" s="18" t="s">
        <v>42</v>
      </c>
      <c r="D4" s="18" t="s">
        <v>42</v>
      </c>
      <c r="E4" s="21" t="s">
        <v>52</v>
      </c>
      <c r="F4" s="21" t="s">
        <v>53</v>
      </c>
      <c r="G4" s="21" t="s">
        <v>54</v>
      </c>
      <c r="H4" s="21"/>
      <c r="I4" s="30" t="s">
        <v>55</v>
      </c>
      <c r="J4" s="20" t="s">
        <v>56</v>
      </c>
      <c r="K4" s="20"/>
      <c r="L4" s="20" t="s">
        <v>56</v>
      </c>
      <c r="M4" s="21"/>
      <c r="N4" s="31"/>
      <c r="O4" s="21"/>
      <c r="P4" s="21"/>
      <c r="Q4" s="21"/>
      <c r="R4" s="20"/>
      <c r="S4" s="20"/>
      <c r="T4" s="20"/>
      <c r="U4" s="32"/>
      <c r="V4" s="21"/>
      <c r="W4" s="21"/>
      <c r="X4" s="21"/>
      <c r="Y4" s="20" t="s">
        <v>57</v>
      </c>
      <c r="Z4" s="20" t="s">
        <v>58</v>
      </c>
      <c r="AA4" s="19"/>
      <c r="AB4" s="19"/>
      <c r="AC4" s="18" t="s">
        <v>59</v>
      </c>
      <c r="AD4" s="19"/>
      <c r="AE4" s="33" t="s">
        <v>60</v>
      </c>
      <c r="AF4" s="34" t="s">
        <v>61</v>
      </c>
      <c r="AG4" s="19"/>
      <c r="AH4" s="35"/>
    </row>
    <row r="5">
      <c r="A5" s="29" t="s">
        <v>62</v>
      </c>
      <c r="B5" s="18" t="s">
        <v>63</v>
      </c>
      <c r="C5" s="18" t="s">
        <v>42</v>
      </c>
      <c r="D5" s="36"/>
      <c r="E5" s="21" t="s">
        <v>52</v>
      </c>
      <c r="F5" s="21" t="s">
        <v>53</v>
      </c>
      <c r="G5" s="36"/>
      <c r="H5" s="37" t="s">
        <v>64</v>
      </c>
      <c r="I5" s="30" t="s">
        <v>65</v>
      </c>
      <c r="J5" s="20"/>
      <c r="K5" s="20"/>
      <c r="L5" s="20"/>
      <c r="M5" s="21"/>
      <c r="N5" s="31" t="s">
        <v>66</v>
      </c>
      <c r="O5" s="21"/>
      <c r="P5" s="21"/>
      <c r="Q5" s="23"/>
      <c r="R5" s="20"/>
      <c r="S5" s="20"/>
      <c r="T5" s="20"/>
      <c r="U5" s="32" t="s">
        <v>67</v>
      </c>
      <c r="V5" s="21" t="s">
        <v>68</v>
      </c>
      <c r="W5" s="21"/>
      <c r="X5" s="21"/>
      <c r="Y5" s="20"/>
      <c r="Z5" s="20"/>
      <c r="AA5" s="20"/>
      <c r="AB5" s="20" t="s">
        <v>69</v>
      </c>
      <c r="AC5" s="18" t="s">
        <v>70</v>
      </c>
      <c r="AD5" s="38" t="s">
        <v>71</v>
      </c>
      <c r="AE5" s="18"/>
      <c r="AF5" s="39" t="s">
        <v>72</v>
      </c>
      <c r="AG5" s="40"/>
      <c r="AH5" s="41"/>
    </row>
    <row r="6">
      <c r="A6" s="29" t="s">
        <v>73</v>
      </c>
      <c r="B6" s="18" t="s">
        <v>63</v>
      </c>
      <c r="C6" s="18" t="s">
        <v>42</v>
      </c>
      <c r="D6" s="36"/>
      <c r="E6" s="21" t="s">
        <v>52</v>
      </c>
      <c r="F6" s="21" t="s">
        <v>53</v>
      </c>
      <c r="G6" s="36"/>
      <c r="H6" s="21"/>
      <c r="I6" s="30"/>
      <c r="J6" s="20"/>
      <c r="K6" s="20"/>
      <c r="L6" s="20"/>
      <c r="M6" s="21"/>
      <c r="N6" s="31"/>
      <c r="O6" s="21"/>
      <c r="P6" s="21"/>
      <c r="Q6" s="23"/>
      <c r="R6" s="20"/>
      <c r="S6" s="20"/>
      <c r="T6" s="20"/>
      <c r="U6" s="32" t="s">
        <v>67</v>
      </c>
      <c r="V6" s="21" t="s">
        <v>68</v>
      </c>
      <c r="W6" s="21"/>
      <c r="X6" s="21"/>
      <c r="Y6" s="20"/>
      <c r="Z6" s="20"/>
      <c r="AA6" s="20"/>
      <c r="AB6" s="20" t="s">
        <v>69</v>
      </c>
      <c r="AC6" s="18" t="s">
        <v>74</v>
      </c>
      <c r="AD6" s="18"/>
      <c r="AE6" s="18"/>
      <c r="AF6" s="18"/>
      <c r="AG6" s="18"/>
      <c r="AH6" s="42"/>
    </row>
    <row r="7">
      <c r="A7" s="29" t="s">
        <v>75</v>
      </c>
      <c r="B7" s="18" t="s">
        <v>63</v>
      </c>
      <c r="C7" s="18" t="s">
        <v>42</v>
      </c>
      <c r="D7" s="36"/>
      <c r="E7" s="21" t="s">
        <v>52</v>
      </c>
      <c r="F7" s="21" t="s">
        <v>53</v>
      </c>
      <c r="G7" s="36"/>
      <c r="H7" s="21"/>
      <c r="I7" s="30"/>
      <c r="J7" s="20"/>
      <c r="K7" s="20"/>
      <c r="L7" s="20"/>
      <c r="M7" s="21"/>
      <c r="N7" s="31"/>
      <c r="O7" s="21"/>
      <c r="P7" s="21"/>
      <c r="Q7" s="23"/>
      <c r="R7" s="20"/>
      <c r="S7" s="20"/>
      <c r="T7" s="20"/>
      <c r="U7" s="32" t="s">
        <v>67</v>
      </c>
      <c r="V7" s="21" t="s">
        <v>68</v>
      </c>
      <c r="W7" s="21"/>
      <c r="X7" s="21"/>
      <c r="Y7" s="20"/>
      <c r="Z7" s="20"/>
      <c r="AA7" s="20"/>
      <c r="AB7" s="20" t="s">
        <v>69</v>
      </c>
      <c r="AC7" s="18" t="s">
        <v>74</v>
      </c>
      <c r="AD7" s="18"/>
      <c r="AE7" s="18"/>
      <c r="AF7" s="18"/>
      <c r="AG7" s="18"/>
      <c r="AH7" s="42"/>
    </row>
    <row r="8">
      <c r="A8" s="43" t="s">
        <v>76</v>
      </c>
      <c r="B8" s="44" t="s">
        <v>63</v>
      </c>
      <c r="C8" s="44" t="s">
        <v>42</v>
      </c>
      <c r="D8" s="45"/>
      <c r="E8" s="46" t="s">
        <v>52</v>
      </c>
      <c r="F8" s="46" t="s">
        <v>53</v>
      </c>
      <c r="G8" s="45"/>
      <c r="H8" s="46"/>
      <c r="I8" s="47"/>
      <c r="J8" s="48"/>
      <c r="K8" s="48"/>
      <c r="L8" s="48"/>
      <c r="M8" s="46"/>
      <c r="N8" s="49"/>
      <c r="O8" s="46"/>
      <c r="P8" s="46"/>
      <c r="Q8" s="50"/>
      <c r="R8" s="48"/>
      <c r="S8" s="48"/>
      <c r="T8" s="48"/>
      <c r="U8" s="51" t="s">
        <v>67</v>
      </c>
      <c r="V8" s="46" t="s">
        <v>68</v>
      </c>
      <c r="W8" s="46"/>
      <c r="X8" s="46"/>
      <c r="Y8" s="48"/>
      <c r="Z8" s="48"/>
      <c r="AA8" s="48"/>
      <c r="AB8" s="48" t="s">
        <v>69</v>
      </c>
      <c r="AC8" s="44" t="s">
        <v>74</v>
      </c>
      <c r="AD8" s="44"/>
      <c r="AE8" s="44"/>
      <c r="AF8" s="44"/>
      <c r="AG8" s="44"/>
      <c r="AH8" s="52"/>
    </row>
    <row r="9">
      <c r="A9" s="29" t="s">
        <v>77</v>
      </c>
      <c r="B9" s="18" t="s">
        <v>78</v>
      </c>
      <c r="C9" s="18" t="s">
        <v>42</v>
      </c>
      <c r="D9" s="21" t="s">
        <v>79</v>
      </c>
      <c r="E9" s="21" t="s">
        <v>52</v>
      </c>
      <c r="F9" s="21" t="s">
        <v>53</v>
      </c>
      <c r="G9" s="53" t="s">
        <v>80</v>
      </c>
      <c r="H9" s="23"/>
      <c r="I9" s="30" t="s">
        <v>81</v>
      </c>
      <c r="J9" s="20" t="s">
        <v>56</v>
      </c>
      <c r="K9" s="54" t="s">
        <v>82</v>
      </c>
      <c r="L9" s="20" t="s">
        <v>83</v>
      </c>
      <c r="M9" s="23"/>
      <c r="N9" s="21">
        <v>100.0</v>
      </c>
      <c r="O9" s="21" t="s">
        <v>84</v>
      </c>
      <c r="P9" s="55">
        <v>0.9</v>
      </c>
      <c r="Q9" s="21" t="s">
        <v>84</v>
      </c>
      <c r="R9" s="21" t="s">
        <v>85</v>
      </c>
      <c r="S9" s="23"/>
      <c r="T9" s="23"/>
      <c r="U9" s="32" t="s">
        <v>86</v>
      </c>
      <c r="V9" s="21"/>
      <c r="W9" s="21"/>
      <c r="X9" s="21"/>
      <c r="Y9" s="56" t="s">
        <v>87</v>
      </c>
      <c r="Z9" s="57" t="s">
        <v>88</v>
      </c>
      <c r="AA9" s="57" t="s">
        <v>89</v>
      </c>
      <c r="AB9" s="19"/>
      <c r="AC9" s="17" t="s">
        <v>90</v>
      </c>
      <c r="AD9" s="58" t="s">
        <v>91</v>
      </c>
      <c r="AE9" s="58" t="s">
        <v>91</v>
      </c>
      <c r="AF9" s="58" t="s">
        <v>91</v>
      </c>
      <c r="AG9" s="58" t="s">
        <v>91</v>
      </c>
      <c r="AH9" s="59" t="s">
        <v>92</v>
      </c>
    </row>
    <row r="10">
      <c r="A10" s="43" t="s">
        <v>93</v>
      </c>
      <c r="B10" s="44" t="s">
        <v>94</v>
      </c>
      <c r="C10" s="46" t="s">
        <v>79</v>
      </c>
      <c r="D10" s="45"/>
      <c r="E10" s="60" t="s">
        <v>95</v>
      </c>
      <c r="F10" s="60"/>
      <c r="G10" s="45"/>
      <c r="H10" s="46" t="s">
        <v>96</v>
      </c>
      <c r="I10" s="61" t="s">
        <v>97</v>
      </c>
      <c r="J10" s="48" t="s">
        <v>56</v>
      </c>
      <c r="K10" s="48"/>
      <c r="L10" s="48"/>
      <c r="M10" s="46"/>
      <c r="N10" s="49" t="s">
        <v>98</v>
      </c>
      <c r="O10" s="62"/>
      <c r="P10" s="62"/>
      <c r="Q10" s="62"/>
      <c r="R10" s="62"/>
      <c r="S10" s="46"/>
      <c r="T10" s="46"/>
      <c r="U10" s="51" t="s">
        <v>86</v>
      </c>
      <c r="V10" s="46" t="s">
        <v>99</v>
      </c>
      <c r="W10" s="46"/>
      <c r="X10" s="46"/>
      <c r="Y10" s="46"/>
      <c r="Z10" s="46"/>
      <c r="AA10" s="46"/>
      <c r="AB10" s="63"/>
      <c r="AC10" s="62"/>
      <c r="AD10" s="64" t="s">
        <v>91</v>
      </c>
      <c r="AE10" s="65"/>
      <c r="AF10" s="65"/>
      <c r="AG10" s="65"/>
      <c r="AH10" s="66"/>
    </row>
    <row r="11">
      <c r="A11" s="29" t="s">
        <v>100</v>
      </c>
      <c r="B11" s="18" t="s">
        <v>101</v>
      </c>
      <c r="C11" s="21" t="s">
        <v>79</v>
      </c>
      <c r="D11" s="21" t="s">
        <v>102</v>
      </c>
      <c r="E11" s="53" t="s">
        <v>95</v>
      </c>
      <c r="F11" s="53"/>
      <c r="G11" s="21" t="s">
        <v>103</v>
      </c>
      <c r="H11" s="23"/>
      <c r="I11" s="54" t="s">
        <v>104</v>
      </c>
      <c r="J11" s="20" t="s">
        <v>56</v>
      </c>
      <c r="K11" s="67" t="s">
        <v>105</v>
      </c>
      <c r="L11" s="20" t="s">
        <v>56</v>
      </c>
      <c r="M11" s="21" t="s">
        <v>106</v>
      </c>
      <c r="N11" s="21">
        <v>100.0</v>
      </c>
      <c r="O11" s="21" t="s">
        <v>107</v>
      </c>
      <c r="P11" s="21" t="s">
        <v>108</v>
      </c>
      <c r="Q11" s="21" t="s">
        <v>109</v>
      </c>
      <c r="R11" s="21" t="s">
        <v>110</v>
      </c>
      <c r="S11" s="21" t="s">
        <v>111</v>
      </c>
      <c r="T11" s="21" t="s">
        <v>112</v>
      </c>
      <c r="V11" s="23"/>
      <c r="W11" s="23"/>
      <c r="X11" s="23"/>
      <c r="Y11" s="20" t="s">
        <v>113</v>
      </c>
      <c r="Z11" s="19"/>
      <c r="AA11" s="19"/>
      <c r="AB11" s="23"/>
      <c r="AC11" s="17" t="s">
        <v>114</v>
      </c>
      <c r="AD11" s="58" t="s">
        <v>91</v>
      </c>
      <c r="AE11" s="58" t="s">
        <v>91</v>
      </c>
      <c r="AF11" s="58" t="s">
        <v>91</v>
      </c>
      <c r="AG11" s="58" t="s">
        <v>91</v>
      </c>
      <c r="AH11" s="59" t="s">
        <v>115</v>
      </c>
    </row>
    <row r="12">
      <c r="A12" s="29" t="s">
        <v>116</v>
      </c>
      <c r="B12" s="29" t="s">
        <v>117</v>
      </c>
      <c r="C12" s="21" t="s">
        <v>102</v>
      </c>
      <c r="D12" s="36"/>
      <c r="E12" s="53" t="s">
        <v>103</v>
      </c>
      <c r="F12" s="53" t="s">
        <v>118</v>
      </c>
      <c r="G12" s="36"/>
      <c r="H12" s="21" t="s">
        <v>119</v>
      </c>
      <c r="I12" s="67" t="s">
        <v>120</v>
      </c>
      <c r="J12" s="20" t="s">
        <v>56</v>
      </c>
      <c r="K12" s="20"/>
      <c r="L12" s="20"/>
      <c r="M12" s="23"/>
      <c r="N12" s="21"/>
      <c r="O12" s="23"/>
      <c r="P12" s="23"/>
      <c r="Q12" s="23"/>
      <c r="R12" s="21"/>
      <c r="S12" s="21"/>
      <c r="T12" s="21"/>
      <c r="V12" s="23"/>
      <c r="W12" s="23"/>
      <c r="X12" s="23"/>
      <c r="Y12" s="23"/>
      <c r="Z12" s="23"/>
      <c r="AA12" s="23"/>
      <c r="AB12" s="23"/>
      <c r="AD12" s="58" t="s">
        <v>91</v>
      </c>
      <c r="AE12" s="58" t="s">
        <v>91</v>
      </c>
      <c r="AH12" s="68"/>
    </row>
    <row r="13">
      <c r="A13" s="29" t="s">
        <v>121</v>
      </c>
      <c r="B13" s="29" t="s">
        <v>122</v>
      </c>
      <c r="C13" s="21" t="s">
        <v>102</v>
      </c>
      <c r="D13" s="36"/>
      <c r="E13" s="53" t="s">
        <v>103</v>
      </c>
      <c r="F13" s="69" t="s">
        <v>118</v>
      </c>
      <c r="G13" s="36"/>
      <c r="H13" s="21"/>
      <c r="I13" s="67" t="s">
        <v>123</v>
      </c>
      <c r="J13" s="20"/>
      <c r="K13" s="20"/>
      <c r="L13" s="20"/>
      <c r="M13" s="21"/>
      <c r="N13" s="21">
        <v>100.0</v>
      </c>
      <c r="O13" s="36"/>
      <c r="P13" s="36"/>
      <c r="Q13" s="36"/>
      <c r="R13" s="36"/>
      <c r="S13" s="36"/>
      <c r="T13" s="36"/>
      <c r="U13" s="29" t="s">
        <v>124</v>
      </c>
      <c r="V13" s="21" t="s">
        <v>125</v>
      </c>
      <c r="W13" s="21" t="s">
        <v>126</v>
      </c>
      <c r="X13" s="21" t="s">
        <v>127</v>
      </c>
      <c r="Y13" s="57" t="s">
        <v>128</v>
      </c>
      <c r="Z13" s="21" t="s">
        <v>129</v>
      </c>
      <c r="AA13" s="19"/>
      <c r="AB13" s="19"/>
      <c r="AC13" s="19"/>
      <c r="AD13" s="58" t="s">
        <v>91</v>
      </c>
      <c r="AE13" s="58" t="s">
        <v>91</v>
      </c>
      <c r="AH13" s="68"/>
    </row>
    <row r="14">
      <c r="A14" s="29" t="s">
        <v>130</v>
      </c>
      <c r="B14" s="29"/>
      <c r="C14" s="21"/>
      <c r="D14" s="36"/>
      <c r="E14" s="53"/>
      <c r="F14" s="36"/>
      <c r="G14" s="36"/>
      <c r="H14" s="21" t="s">
        <v>131</v>
      </c>
      <c r="I14" s="20"/>
      <c r="J14" s="20" t="s">
        <v>56</v>
      </c>
      <c r="K14" s="20"/>
      <c r="L14" s="20"/>
      <c r="M14" s="21"/>
      <c r="N14" s="21"/>
      <c r="O14" s="21"/>
      <c r="P14" s="21"/>
      <c r="Q14" s="21"/>
      <c r="R14" s="36"/>
      <c r="S14" s="36"/>
      <c r="T14" s="36"/>
      <c r="U14" s="29"/>
      <c r="V14" s="21"/>
      <c r="W14" s="21"/>
      <c r="X14" s="21"/>
      <c r="Y14" s="57"/>
      <c r="Z14" s="21"/>
      <c r="AA14" s="19"/>
      <c r="AB14" s="19"/>
      <c r="AC14" s="19"/>
      <c r="AD14" s="70"/>
      <c r="AE14" s="70"/>
      <c r="AH14" s="68"/>
    </row>
    <row r="15">
      <c r="A15" s="43" t="s">
        <v>132</v>
      </c>
      <c r="B15" s="43"/>
      <c r="C15" s="46"/>
      <c r="D15" s="45"/>
      <c r="E15" s="60"/>
      <c r="F15" s="45"/>
      <c r="G15" s="45"/>
      <c r="H15" s="46" t="s">
        <v>133</v>
      </c>
      <c r="I15" s="48"/>
      <c r="J15" s="48" t="s">
        <v>56</v>
      </c>
      <c r="K15" s="48"/>
      <c r="L15" s="48"/>
      <c r="M15" s="46"/>
      <c r="N15" s="46"/>
      <c r="O15" s="46"/>
      <c r="P15" s="46"/>
      <c r="Q15" s="46"/>
      <c r="R15" s="45"/>
      <c r="S15" s="45"/>
      <c r="T15" s="45"/>
      <c r="U15" s="43"/>
      <c r="V15" s="46"/>
      <c r="W15" s="46"/>
      <c r="X15" s="46"/>
      <c r="Y15" s="71"/>
      <c r="Z15" s="46"/>
      <c r="AA15" s="63"/>
      <c r="AB15" s="63"/>
      <c r="AC15" s="63"/>
      <c r="AD15" s="65"/>
      <c r="AE15" s="65"/>
      <c r="AF15" s="62"/>
      <c r="AG15" s="62"/>
      <c r="AH15" s="72"/>
    </row>
    <row r="16">
      <c r="A16" s="29" t="s">
        <v>100</v>
      </c>
      <c r="B16" s="18" t="s">
        <v>101</v>
      </c>
      <c r="C16" s="21" t="s">
        <v>79</v>
      </c>
      <c r="D16" s="21" t="s">
        <v>134</v>
      </c>
      <c r="E16" s="53" t="s">
        <v>95</v>
      </c>
      <c r="F16" s="53"/>
      <c r="G16" s="21" t="s">
        <v>103</v>
      </c>
      <c r="H16" s="23"/>
      <c r="I16" s="54" t="s">
        <v>135</v>
      </c>
      <c r="J16" s="20" t="s">
        <v>56</v>
      </c>
      <c r="K16" s="67" t="s">
        <v>136</v>
      </c>
      <c r="L16" s="20" t="s">
        <v>56</v>
      </c>
      <c r="M16" s="21" t="s">
        <v>106</v>
      </c>
      <c r="N16" s="21">
        <v>100.0</v>
      </c>
      <c r="O16" s="21" t="s">
        <v>137</v>
      </c>
      <c r="P16" s="21" t="s">
        <v>108</v>
      </c>
      <c r="Q16" s="21" t="s">
        <v>138</v>
      </c>
      <c r="R16" s="21" t="s">
        <v>139</v>
      </c>
      <c r="S16" s="21" t="s">
        <v>140</v>
      </c>
      <c r="T16" s="21" t="s">
        <v>112</v>
      </c>
      <c r="V16" s="23"/>
      <c r="W16" s="23"/>
      <c r="X16" s="23"/>
      <c r="Y16" s="20" t="s">
        <v>113</v>
      </c>
      <c r="Z16" s="19"/>
      <c r="AA16" s="19"/>
      <c r="AB16" s="23"/>
      <c r="AC16" s="17" t="s">
        <v>114</v>
      </c>
      <c r="AD16" s="58" t="s">
        <v>91</v>
      </c>
      <c r="AE16" s="58" t="s">
        <v>91</v>
      </c>
      <c r="AF16" s="58" t="s">
        <v>91</v>
      </c>
      <c r="AG16" s="58" t="s">
        <v>91</v>
      </c>
      <c r="AH16" s="59" t="s">
        <v>115</v>
      </c>
    </row>
    <row r="17">
      <c r="A17" s="29" t="s">
        <v>141</v>
      </c>
      <c r="C17" s="21" t="s">
        <v>134</v>
      </c>
      <c r="D17" s="36"/>
      <c r="E17" s="53" t="s">
        <v>103</v>
      </c>
      <c r="F17" s="53" t="s">
        <v>118</v>
      </c>
      <c r="G17" s="36"/>
      <c r="H17" s="23"/>
      <c r="I17" s="67" t="s">
        <v>142</v>
      </c>
      <c r="J17" s="20"/>
      <c r="K17" s="20"/>
      <c r="L17" s="20"/>
      <c r="M17" s="23"/>
      <c r="N17" s="21">
        <v>100.0</v>
      </c>
      <c r="O17" s="23"/>
      <c r="P17" s="23"/>
      <c r="Q17" s="23"/>
      <c r="R17" s="21"/>
      <c r="S17" s="21"/>
      <c r="T17" s="21"/>
      <c r="V17" s="23"/>
      <c r="W17" s="23"/>
      <c r="X17" s="23"/>
      <c r="Y17" s="23"/>
      <c r="Z17" s="23"/>
      <c r="AA17" s="23"/>
      <c r="AB17" s="23"/>
      <c r="AD17" s="58" t="s">
        <v>91</v>
      </c>
      <c r="AE17" s="58" t="s">
        <v>91</v>
      </c>
      <c r="AH17" s="68"/>
    </row>
    <row r="18">
      <c r="A18" s="29" t="s">
        <v>143</v>
      </c>
      <c r="B18" s="18" t="s">
        <v>144</v>
      </c>
      <c r="C18" s="21"/>
      <c r="D18" s="36"/>
      <c r="E18" s="53"/>
      <c r="F18" s="53"/>
      <c r="G18" s="36"/>
      <c r="H18" s="21"/>
      <c r="I18" s="20" t="s">
        <v>145</v>
      </c>
      <c r="J18" s="20"/>
      <c r="K18" s="20"/>
      <c r="L18" s="20"/>
      <c r="M18" s="21"/>
      <c r="N18" s="21"/>
      <c r="O18" s="23"/>
      <c r="P18" s="23"/>
      <c r="Q18" s="23"/>
      <c r="R18" s="21"/>
      <c r="S18" s="21"/>
      <c r="T18" s="21"/>
      <c r="V18" s="23"/>
      <c r="W18" s="23"/>
      <c r="X18" s="23"/>
      <c r="Y18" s="23"/>
      <c r="Z18" s="23"/>
      <c r="AA18" s="23"/>
      <c r="AB18" s="23"/>
      <c r="AH18" s="68"/>
    </row>
    <row r="19">
      <c r="A19" s="29" t="s">
        <v>146</v>
      </c>
      <c r="C19" s="21"/>
      <c r="D19" s="36"/>
      <c r="E19" s="53"/>
      <c r="F19" s="53"/>
      <c r="G19" s="36"/>
      <c r="H19" s="21"/>
      <c r="I19" s="20" t="s">
        <v>97</v>
      </c>
      <c r="J19" s="20" t="s">
        <v>56</v>
      </c>
      <c r="K19" s="20"/>
      <c r="L19" s="20"/>
      <c r="M19" s="21"/>
      <c r="N19" s="21"/>
      <c r="O19" s="23"/>
      <c r="P19" s="23"/>
      <c r="Q19" s="23"/>
      <c r="R19" s="21"/>
      <c r="S19" s="21"/>
      <c r="T19" s="21"/>
      <c r="V19" s="23"/>
      <c r="W19" s="23"/>
      <c r="X19" s="23"/>
      <c r="Y19" s="23"/>
      <c r="Z19" s="23"/>
      <c r="AA19" s="23"/>
      <c r="AB19" s="23"/>
      <c r="AH19" s="68"/>
    </row>
    <row r="20">
      <c r="A20" s="29" t="s">
        <v>147</v>
      </c>
      <c r="B20" s="18"/>
      <c r="C20" s="21"/>
      <c r="D20" s="36"/>
      <c r="E20" s="53"/>
      <c r="F20" s="53"/>
      <c r="G20" s="36"/>
      <c r="H20" s="21"/>
      <c r="I20" s="20" t="s">
        <v>97</v>
      </c>
      <c r="J20" s="20" t="s">
        <v>56</v>
      </c>
      <c r="K20" s="20"/>
      <c r="L20" s="20"/>
      <c r="M20" s="21"/>
      <c r="N20" s="21"/>
      <c r="O20" s="23"/>
      <c r="P20" s="23"/>
      <c r="Q20" s="23"/>
      <c r="R20" s="21"/>
      <c r="S20" s="21"/>
      <c r="T20" s="21"/>
      <c r="V20" s="23"/>
      <c r="W20" s="23"/>
      <c r="X20" s="23"/>
      <c r="Y20" s="23"/>
      <c r="Z20" s="23"/>
      <c r="AA20" s="23"/>
      <c r="AB20" s="23"/>
      <c r="AH20" s="68"/>
    </row>
    <row r="21">
      <c r="A21" s="29" t="s">
        <v>148</v>
      </c>
      <c r="B21" s="18"/>
      <c r="C21" s="21"/>
      <c r="D21" s="36"/>
      <c r="E21" s="53"/>
      <c r="F21" s="53"/>
      <c r="G21" s="36"/>
      <c r="H21" s="21"/>
      <c r="I21" s="20" t="s">
        <v>97</v>
      </c>
      <c r="J21" s="20" t="s">
        <v>56</v>
      </c>
      <c r="K21" s="20"/>
      <c r="L21" s="20"/>
      <c r="M21" s="21"/>
      <c r="N21" s="21"/>
      <c r="O21" s="23"/>
      <c r="P21" s="23"/>
      <c r="Q21" s="23"/>
      <c r="R21" s="21"/>
      <c r="S21" s="21"/>
      <c r="T21" s="21"/>
      <c r="V21" s="23"/>
      <c r="W21" s="23"/>
      <c r="X21" s="23"/>
      <c r="Y21" s="23"/>
      <c r="Z21" s="23"/>
      <c r="AA21" s="23"/>
      <c r="AB21" s="23"/>
      <c r="AH21" s="68"/>
    </row>
    <row r="22">
      <c r="A22" s="29" t="s">
        <v>149</v>
      </c>
      <c r="B22" s="18"/>
      <c r="C22" s="21"/>
      <c r="D22" s="36"/>
      <c r="E22" s="53"/>
      <c r="F22" s="53"/>
      <c r="G22" s="36"/>
      <c r="H22" s="21"/>
      <c r="I22" s="20" t="s">
        <v>97</v>
      </c>
      <c r="J22" s="20" t="s">
        <v>56</v>
      </c>
      <c r="K22" s="20"/>
      <c r="L22" s="20"/>
      <c r="M22" s="21"/>
      <c r="N22" s="21"/>
      <c r="O22" s="23"/>
      <c r="P22" s="23"/>
      <c r="Q22" s="23"/>
      <c r="R22" s="21"/>
      <c r="S22" s="21"/>
      <c r="T22" s="21"/>
      <c r="V22" s="23"/>
      <c r="W22" s="23"/>
      <c r="X22" s="23"/>
      <c r="Y22" s="23"/>
      <c r="Z22" s="23"/>
      <c r="AA22" s="23"/>
      <c r="AB22" s="23"/>
      <c r="AH22" s="68"/>
    </row>
    <row r="23">
      <c r="A23" s="29" t="s">
        <v>150</v>
      </c>
      <c r="B23" s="18"/>
      <c r="C23" s="21"/>
      <c r="D23" s="36"/>
      <c r="E23" s="53"/>
      <c r="F23" s="53"/>
      <c r="G23" s="36"/>
      <c r="H23" s="21"/>
      <c r="I23" s="20" t="s">
        <v>97</v>
      </c>
      <c r="J23" s="20" t="s">
        <v>56</v>
      </c>
      <c r="K23" s="20"/>
      <c r="L23" s="20"/>
      <c r="M23" s="21"/>
      <c r="N23" s="21"/>
      <c r="O23" s="23"/>
      <c r="P23" s="23"/>
      <c r="Q23" s="23"/>
      <c r="R23" s="21"/>
      <c r="S23" s="21"/>
      <c r="T23" s="21"/>
      <c r="V23" s="23"/>
      <c r="W23" s="23"/>
      <c r="X23" s="23"/>
      <c r="Y23" s="23"/>
      <c r="Z23" s="23"/>
      <c r="AA23" s="23"/>
      <c r="AB23" s="23"/>
      <c r="AH23" s="68"/>
    </row>
    <row r="24">
      <c r="A24" s="29" t="s">
        <v>151</v>
      </c>
      <c r="B24" s="18" t="s">
        <v>152</v>
      </c>
      <c r="C24" s="21"/>
      <c r="D24" s="36"/>
      <c r="E24" s="53"/>
      <c r="F24" s="53"/>
      <c r="G24" s="36"/>
      <c r="H24" s="21" t="s">
        <v>153</v>
      </c>
      <c r="I24" s="20" t="s">
        <v>154</v>
      </c>
      <c r="J24" s="20" t="s">
        <v>56</v>
      </c>
      <c r="K24" s="20"/>
      <c r="L24" s="20"/>
      <c r="M24" s="21"/>
      <c r="N24" s="21"/>
      <c r="O24" s="23"/>
      <c r="P24" s="23"/>
      <c r="Q24" s="23"/>
      <c r="R24" s="21"/>
      <c r="S24" s="21"/>
      <c r="T24" s="21"/>
      <c r="V24" s="23"/>
      <c r="W24" s="23"/>
      <c r="X24" s="23"/>
      <c r="Y24" s="23"/>
      <c r="Z24" s="23"/>
      <c r="AA24" s="23"/>
      <c r="AB24" s="23"/>
      <c r="AH24" s="68"/>
    </row>
    <row r="25">
      <c r="A25" s="29" t="s">
        <v>155</v>
      </c>
      <c r="B25" s="18" t="s">
        <v>156</v>
      </c>
      <c r="C25" s="21"/>
      <c r="D25" s="36"/>
      <c r="E25" s="53"/>
      <c r="F25" s="53"/>
      <c r="G25" s="36"/>
      <c r="H25" s="53" t="s">
        <v>157</v>
      </c>
      <c r="I25" s="20" t="s">
        <v>158</v>
      </c>
      <c r="J25" s="20" t="s">
        <v>56</v>
      </c>
      <c r="K25" s="20"/>
      <c r="L25" s="20"/>
      <c r="M25" s="53"/>
      <c r="N25" s="21"/>
      <c r="O25" s="23"/>
      <c r="P25" s="23"/>
      <c r="Q25" s="23"/>
      <c r="R25" s="21"/>
      <c r="S25" s="21"/>
      <c r="T25" s="21"/>
      <c r="V25" s="23"/>
      <c r="W25" s="23"/>
      <c r="X25" s="23"/>
      <c r="Y25" s="23"/>
      <c r="Z25" s="23"/>
      <c r="AA25" s="23"/>
      <c r="AB25" s="23"/>
      <c r="AH25" s="68"/>
    </row>
    <row r="26">
      <c r="A26" s="29" t="s">
        <v>159</v>
      </c>
      <c r="B26" s="73" t="s">
        <v>160</v>
      </c>
      <c r="C26" s="21"/>
      <c r="D26" s="36"/>
      <c r="E26" s="53"/>
      <c r="F26" s="53"/>
      <c r="G26" s="36"/>
      <c r="H26" s="53"/>
      <c r="I26" s="20" t="s">
        <v>161</v>
      </c>
      <c r="J26" s="20" t="s">
        <v>56</v>
      </c>
      <c r="K26" s="20"/>
      <c r="L26" s="20"/>
      <c r="M26" s="53"/>
      <c r="N26" s="21"/>
      <c r="O26" s="23"/>
      <c r="P26" s="23"/>
      <c r="Q26" s="23"/>
      <c r="R26" s="21"/>
      <c r="S26" s="21"/>
      <c r="T26" s="21"/>
      <c r="V26" s="23"/>
      <c r="W26" s="23"/>
      <c r="X26" s="23"/>
      <c r="Y26" s="23"/>
      <c r="Z26" s="23"/>
      <c r="AA26" s="23"/>
      <c r="AB26" s="23"/>
      <c r="AH26" s="68"/>
    </row>
    <row r="27">
      <c r="A27" s="29" t="s">
        <v>162</v>
      </c>
      <c r="B27" s="73" t="s">
        <v>160</v>
      </c>
      <c r="C27" s="21"/>
      <c r="D27" s="36"/>
      <c r="E27" s="53"/>
      <c r="F27" s="53"/>
      <c r="G27" s="36"/>
      <c r="H27" s="20" t="s">
        <v>163</v>
      </c>
      <c r="I27" s="20" t="s">
        <v>164</v>
      </c>
      <c r="J27" s="20" t="s">
        <v>56</v>
      </c>
      <c r="K27" s="20"/>
      <c r="L27" s="20"/>
      <c r="M27" s="20"/>
      <c r="N27" s="21"/>
      <c r="O27" s="23"/>
      <c r="P27" s="23"/>
      <c r="Q27" s="23"/>
      <c r="R27" s="21"/>
      <c r="S27" s="21"/>
      <c r="T27" s="21"/>
      <c r="V27" s="23"/>
      <c r="W27" s="23"/>
      <c r="X27" s="23"/>
      <c r="Y27" s="23"/>
      <c r="Z27" s="23"/>
      <c r="AA27" s="23"/>
      <c r="AB27" s="23"/>
      <c r="AH27" s="68"/>
    </row>
    <row r="28" ht="45.0" customHeight="1">
      <c r="A28" s="29" t="s">
        <v>165</v>
      </c>
      <c r="B28" s="18" t="s">
        <v>166</v>
      </c>
      <c r="C28" s="21"/>
      <c r="D28" s="36"/>
      <c r="E28" s="53"/>
      <c r="F28" s="53"/>
      <c r="G28" s="36"/>
      <c r="H28" s="53" t="s">
        <v>167</v>
      </c>
      <c r="I28" s="53" t="s">
        <v>167</v>
      </c>
      <c r="J28" s="53"/>
      <c r="K28" s="53"/>
      <c r="L28" s="53"/>
      <c r="M28" s="53"/>
      <c r="N28" s="21"/>
      <c r="O28" s="23"/>
      <c r="P28" s="23"/>
      <c r="Q28" s="23"/>
      <c r="R28" s="21"/>
      <c r="S28" s="21"/>
      <c r="T28" s="21"/>
      <c r="V28" s="23"/>
      <c r="W28" s="23"/>
      <c r="X28" s="23"/>
      <c r="Y28" s="23"/>
      <c r="Z28" s="23"/>
      <c r="AA28" s="23"/>
      <c r="AB28" s="23"/>
      <c r="AH28" s="68"/>
    </row>
    <row r="29" ht="43.5" customHeight="1">
      <c r="A29" s="29" t="s">
        <v>168</v>
      </c>
      <c r="C29" s="21"/>
      <c r="D29" s="36"/>
      <c r="E29" s="53"/>
      <c r="F29" s="53"/>
      <c r="G29" s="36"/>
      <c r="H29" s="53" t="s">
        <v>167</v>
      </c>
      <c r="I29" s="53" t="s">
        <v>167</v>
      </c>
      <c r="J29" s="53"/>
      <c r="K29" s="53"/>
      <c r="L29" s="53"/>
      <c r="M29" s="53"/>
      <c r="N29" s="21"/>
      <c r="O29" s="23"/>
      <c r="P29" s="23"/>
      <c r="Q29" s="23"/>
      <c r="R29" s="21"/>
      <c r="S29" s="21"/>
      <c r="T29" s="21"/>
      <c r="V29" s="23"/>
      <c r="W29" s="23"/>
      <c r="X29" s="23"/>
      <c r="Y29" s="23"/>
      <c r="Z29" s="23"/>
      <c r="AA29" s="23"/>
      <c r="AB29" s="23"/>
      <c r="AH29" s="68"/>
    </row>
    <row r="30">
      <c r="A30" s="29" t="s">
        <v>169</v>
      </c>
      <c r="B30" s="18"/>
      <c r="C30" s="21"/>
      <c r="D30" s="36"/>
      <c r="E30" s="53"/>
      <c r="F30" s="53"/>
      <c r="G30" s="69" t="s">
        <v>103</v>
      </c>
      <c r="H30" s="53"/>
      <c r="I30" s="53"/>
      <c r="J30" s="53"/>
      <c r="K30" s="53" t="s">
        <v>161</v>
      </c>
      <c r="L30" s="53" t="s">
        <v>56</v>
      </c>
      <c r="M30" s="53"/>
      <c r="N30" s="21"/>
      <c r="O30" s="23"/>
      <c r="P30" s="23"/>
      <c r="Q30" s="23"/>
      <c r="R30" s="21"/>
      <c r="S30" s="21"/>
      <c r="T30" s="21"/>
      <c r="V30" s="23"/>
      <c r="W30" s="23"/>
      <c r="X30" s="23"/>
      <c r="Y30" s="23"/>
      <c r="Z30" s="23"/>
      <c r="AA30" s="23"/>
      <c r="AB30" s="23"/>
      <c r="AC30" s="29" t="s">
        <v>170</v>
      </c>
      <c r="AE30" s="58" t="s">
        <v>91</v>
      </c>
      <c r="AH30" s="68"/>
    </row>
    <row r="31">
      <c r="A31" s="29" t="s">
        <v>169</v>
      </c>
      <c r="B31" s="18"/>
      <c r="C31" s="21"/>
      <c r="D31" s="36"/>
      <c r="E31" s="53"/>
      <c r="F31" s="53"/>
      <c r="G31" s="69"/>
      <c r="H31" s="53"/>
      <c r="I31" s="53"/>
      <c r="J31" s="53"/>
      <c r="K31" s="53"/>
      <c r="L31" s="53"/>
      <c r="M31" s="53"/>
      <c r="N31" s="21"/>
      <c r="O31" s="23"/>
      <c r="P31" s="23"/>
      <c r="Q31" s="23"/>
      <c r="R31" s="21"/>
      <c r="S31" s="21"/>
      <c r="T31" s="21"/>
      <c r="V31" s="23"/>
      <c r="W31" s="23"/>
      <c r="X31" s="23"/>
      <c r="Y31" s="23"/>
      <c r="Z31" s="23"/>
      <c r="AA31" s="23"/>
      <c r="AB31" s="23"/>
      <c r="AC31" s="29"/>
      <c r="AE31" s="70"/>
      <c r="AH31" s="68"/>
    </row>
    <row r="32">
      <c r="A32" s="29" t="s">
        <v>169</v>
      </c>
      <c r="B32" s="18"/>
      <c r="C32" s="21"/>
      <c r="D32" s="36"/>
      <c r="E32" s="53"/>
      <c r="F32" s="53"/>
      <c r="G32" s="69"/>
      <c r="H32" s="53"/>
      <c r="I32" s="53"/>
      <c r="J32" s="53"/>
      <c r="K32" s="53"/>
      <c r="L32" s="53"/>
      <c r="M32" s="53"/>
      <c r="N32" s="21"/>
      <c r="O32" s="23"/>
      <c r="P32" s="23"/>
      <c r="Q32" s="23"/>
      <c r="R32" s="21"/>
      <c r="S32" s="21"/>
      <c r="T32" s="21"/>
      <c r="V32" s="23"/>
      <c r="W32" s="23"/>
      <c r="X32" s="23"/>
      <c r="Y32" s="23"/>
      <c r="Z32" s="23"/>
      <c r="AA32" s="23"/>
      <c r="AB32" s="23"/>
      <c r="AC32" s="29"/>
      <c r="AE32" s="70"/>
      <c r="AH32" s="68"/>
    </row>
    <row r="33">
      <c r="A33" s="29" t="s">
        <v>171</v>
      </c>
      <c r="B33" s="18"/>
      <c r="C33" s="21"/>
      <c r="D33" s="36"/>
      <c r="E33" s="53"/>
      <c r="F33" s="74" t="s">
        <v>172</v>
      </c>
      <c r="G33" s="36"/>
      <c r="H33" s="53" t="s">
        <v>173</v>
      </c>
      <c r="I33" s="53" t="s">
        <v>174</v>
      </c>
      <c r="J33" s="53" t="s">
        <v>56</v>
      </c>
      <c r="K33" s="53"/>
      <c r="L33" s="53"/>
      <c r="M33" s="53"/>
      <c r="N33" s="21"/>
      <c r="O33" s="23"/>
      <c r="P33" s="23"/>
      <c r="Q33" s="23"/>
      <c r="R33" s="21"/>
      <c r="S33" s="21"/>
      <c r="T33" s="21"/>
      <c r="V33" s="23"/>
      <c r="W33" s="23"/>
      <c r="X33" s="23"/>
      <c r="Y33" s="23"/>
      <c r="Z33" s="21" t="s">
        <v>175</v>
      </c>
      <c r="AA33" s="23"/>
      <c r="AB33" s="23"/>
      <c r="AF33" s="58" t="s">
        <v>91</v>
      </c>
      <c r="AH33" s="68"/>
    </row>
    <row r="34">
      <c r="A34" s="29" t="s">
        <v>176</v>
      </c>
      <c r="B34" s="18"/>
      <c r="C34" s="21"/>
      <c r="D34" s="36"/>
      <c r="E34" s="53"/>
      <c r="F34" s="74" t="s">
        <v>172</v>
      </c>
      <c r="G34" s="36"/>
      <c r="H34" s="53" t="s">
        <v>173</v>
      </c>
      <c r="I34" s="53" t="s">
        <v>174</v>
      </c>
      <c r="J34" s="53" t="s">
        <v>56</v>
      </c>
      <c r="K34" s="53"/>
      <c r="L34" s="53"/>
      <c r="M34" s="53"/>
      <c r="N34" s="21"/>
      <c r="O34" s="23"/>
      <c r="P34" s="23"/>
      <c r="Q34" s="23"/>
      <c r="R34" s="21"/>
      <c r="S34" s="21"/>
      <c r="T34" s="21"/>
      <c r="V34" s="23"/>
      <c r="W34" s="23"/>
      <c r="X34" s="23"/>
      <c r="Y34" s="23"/>
      <c r="Z34" s="21" t="s">
        <v>175</v>
      </c>
      <c r="AA34" s="23"/>
      <c r="AB34" s="23"/>
      <c r="AF34" s="58" t="s">
        <v>91</v>
      </c>
      <c r="AH34" s="68"/>
    </row>
    <row r="35">
      <c r="A35" s="29" t="s">
        <v>177</v>
      </c>
      <c r="B35" s="18"/>
      <c r="C35" s="21"/>
      <c r="D35" s="36"/>
      <c r="E35" s="53"/>
      <c r="F35" s="74" t="s">
        <v>178</v>
      </c>
      <c r="G35" s="36"/>
      <c r="H35" s="53" t="s">
        <v>173</v>
      </c>
      <c r="I35" s="53" t="s">
        <v>174</v>
      </c>
      <c r="J35" s="53" t="s">
        <v>56</v>
      </c>
      <c r="K35" s="53"/>
      <c r="L35" s="53"/>
      <c r="M35" s="53"/>
      <c r="N35" s="21"/>
      <c r="O35" s="23"/>
      <c r="P35" s="23"/>
      <c r="Q35" s="23"/>
      <c r="R35" s="21"/>
      <c r="S35" s="21"/>
      <c r="T35" s="21"/>
      <c r="V35" s="23"/>
      <c r="W35" s="23"/>
      <c r="X35" s="23"/>
      <c r="Y35" s="23"/>
      <c r="Z35" s="21" t="s">
        <v>179</v>
      </c>
      <c r="AA35" s="23"/>
      <c r="AB35" s="23"/>
      <c r="AF35" s="70"/>
      <c r="AH35" s="68"/>
    </row>
    <row r="36">
      <c r="A36" s="29" t="s">
        <v>180</v>
      </c>
      <c r="B36" s="18"/>
      <c r="C36" s="21"/>
      <c r="D36" s="36"/>
      <c r="E36" s="53"/>
      <c r="F36" s="74" t="s">
        <v>178</v>
      </c>
      <c r="G36" s="36"/>
      <c r="H36" s="53" t="s">
        <v>173</v>
      </c>
      <c r="I36" s="53" t="s">
        <v>174</v>
      </c>
      <c r="J36" s="53" t="s">
        <v>56</v>
      </c>
      <c r="K36" s="53"/>
      <c r="L36" s="53"/>
      <c r="M36" s="53"/>
      <c r="N36" s="21"/>
      <c r="O36" s="23"/>
      <c r="P36" s="23"/>
      <c r="Q36" s="23"/>
      <c r="R36" s="21"/>
      <c r="S36" s="21"/>
      <c r="T36" s="21"/>
      <c r="V36" s="23"/>
      <c r="W36" s="23"/>
      <c r="X36" s="23"/>
      <c r="Y36" s="23"/>
      <c r="Z36" s="21" t="s">
        <v>179</v>
      </c>
      <c r="AA36" s="23"/>
      <c r="AB36" s="23"/>
      <c r="AF36" s="70"/>
      <c r="AH36" s="68"/>
    </row>
    <row r="37">
      <c r="A37" s="29" t="s">
        <v>181</v>
      </c>
      <c r="B37" s="18"/>
      <c r="C37" s="21"/>
      <c r="D37" s="36"/>
      <c r="E37" s="53"/>
      <c r="F37" s="74" t="s">
        <v>178</v>
      </c>
      <c r="G37" s="36"/>
      <c r="H37" s="53" t="s">
        <v>173</v>
      </c>
      <c r="I37" s="53" t="s">
        <v>174</v>
      </c>
      <c r="J37" s="53" t="s">
        <v>56</v>
      </c>
      <c r="K37" s="53"/>
      <c r="L37" s="53"/>
      <c r="M37" s="53"/>
      <c r="N37" s="21"/>
      <c r="O37" s="23"/>
      <c r="P37" s="23"/>
      <c r="Q37" s="23"/>
      <c r="R37" s="21"/>
      <c r="S37" s="21"/>
      <c r="T37" s="21"/>
      <c r="V37" s="23"/>
      <c r="W37" s="23"/>
      <c r="X37" s="23"/>
      <c r="Y37" s="23"/>
      <c r="Z37" s="21" t="s">
        <v>179</v>
      </c>
      <c r="AA37" s="23"/>
      <c r="AB37" s="23"/>
      <c r="AF37" s="70"/>
      <c r="AH37" s="68"/>
    </row>
    <row r="38">
      <c r="A38" s="29" t="s">
        <v>182</v>
      </c>
      <c r="B38" s="18" t="s">
        <v>183</v>
      </c>
      <c r="C38" s="21" t="s">
        <v>134</v>
      </c>
      <c r="D38" s="36"/>
      <c r="E38" s="53" t="s">
        <v>103</v>
      </c>
      <c r="F38" s="36"/>
      <c r="G38" s="36"/>
      <c r="H38" s="21"/>
      <c r="I38" s="21" t="s">
        <v>184</v>
      </c>
      <c r="J38" s="20" t="s">
        <v>56</v>
      </c>
      <c r="K38" s="20"/>
      <c r="L38" s="20"/>
      <c r="M38" s="21"/>
      <c r="N38" s="21" t="s">
        <v>185</v>
      </c>
      <c r="O38" s="36"/>
      <c r="P38" s="36"/>
      <c r="Q38" s="36"/>
      <c r="R38" s="36"/>
      <c r="S38" s="36"/>
      <c r="T38" s="36"/>
      <c r="U38" s="29" t="s">
        <v>124</v>
      </c>
      <c r="V38" s="21" t="s">
        <v>186</v>
      </c>
      <c r="W38" s="21" t="s">
        <v>187</v>
      </c>
      <c r="X38" s="21" t="s">
        <v>188</v>
      </c>
      <c r="Y38" s="20" t="s">
        <v>189</v>
      </c>
      <c r="Z38" s="20"/>
      <c r="AA38" s="20"/>
      <c r="AB38" s="36"/>
      <c r="AC38" s="18" t="s">
        <v>190</v>
      </c>
      <c r="AD38" s="58" t="s">
        <v>91</v>
      </c>
      <c r="AE38" s="58" t="s">
        <v>91</v>
      </c>
      <c r="AF38" s="70"/>
      <c r="AG38" s="70"/>
      <c r="AH38" s="70"/>
    </row>
    <row r="39">
      <c r="A39" s="29" t="s">
        <v>191</v>
      </c>
      <c r="C39" s="21" t="s">
        <v>134</v>
      </c>
      <c r="D39" s="36"/>
      <c r="E39" s="53" t="s">
        <v>103</v>
      </c>
      <c r="F39" s="53" t="s">
        <v>118</v>
      </c>
      <c r="G39" s="36"/>
      <c r="H39" s="20"/>
      <c r="I39" s="20" t="s">
        <v>192</v>
      </c>
      <c r="J39" s="20"/>
      <c r="K39" s="20"/>
      <c r="L39" s="20"/>
      <c r="M39" s="20"/>
      <c r="N39" s="21">
        <v>100.0</v>
      </c>
      <c r="O39" s="36"/>
      <c r="P39" s="36"/>
      <c r="Q39" s="36"/>
      <c r="R39" s="36"/>
      <c r="S39" s="36"/>
      <c r="T39" s="36"/>
      <c r="W39" s="23"/>
      <c r="X39" s="23"/>
      <c r="Y39" s="21" t="s">
        <v>193</v>
      </c>
      <c r="Z39" s="21" t="s">
        <v>194</v>
      </c>
      <c r="AA39" s="23"/>
      <c r="AB39" s="23"/>
      <c r="AD39" s="58" t="s">
        <v>91</v>
      </c>
      <c r="AE39" s="58" t="s">
        <v>91</v>
      </c>
      <c r="AH39" s="68"/>
    </row>
    <row r="40">
      <c r="A40" s="29" t="s">
        <v>195</v>
      </c>
      <c r="C40" s="21"/>
      <c r="D40" s="36"/>
      <c r="E40" s="53"/>
      <c r="F40" s="53"/>
      <c r="G40" s="36"/>
      <c r="H40" s="23"/>
      <c r="I40" s="20"/>
      <c r="J40" s="20" t="s">
        <v>56</v>
      </c>
      <c r="K40" s="20"/>
      <c r="L40" s="20"/>
      <c r="M40" s="23"/>
      <c r="N40" s="21"/>
      <c r="O40" s="23"/>
      <c r="P40" s="23"/>
      <c r="Q40" s="23"/>
      <c r="R40" s="21"/>
      <c r="S40" s="21"/>
      <c r="T40" s="21"/>
      <c r="V40" s="21" t="s">
        <v>196</v>
      </c>
      <c r="W40" s="23"/>
      <c r="X40" s="23"/>
      <c r="Y40" s="23"/>
      <c r="Z40" s="23"/>
      <c r="AA40" s="23"/>
      <c r="AB40" s="23"/>
      <c r="AD40" s="70"/>
      <c r="AE40" s="70"/>
      <c r="AH40" s="68"/>
    </row>
    <row r="41">
      <c r="A41" s="43" t="s">
        <v>197</v>
      </c>
      <c r="B41" s="62"/>
      <c r="C41" s="46"/>
      <c r="D41" s="45"/>
      <c r="E41" s="60"/>
      <c r="F41" s="60"/>
      <c r="G41" s="45"/>
      <c r="H41" s="50"/>
      <c r="I41" s="48"/>
      <c r="J41" s="48" t="s">
        <v>56</v>
      </c>
      <c r="K41" s="48"/>
      <c r="L41" s="48"/>
      <c r="M41" s="50"/>
      <c r="N41" s="46"/>
      <c r="O41" s="50"/>
      <c r="P41" s="50"/>
      <c r="Q41" s="50"/>
      <c r="R41" s="46"/>
      <c r="S41" s="46"/>
      <c r="T41" s="46"/>
      <c r="U41" s="62"/>
      <c r="V41" s="50"/>
      <c r="W41" s="50"/>
      <c r="X41" s="50"/>
      <c r="Y41" s="50"/>
      <c r="Z41" s="50"/>
      <c r="AA41" s="50"/>
      <c r="AB41" s="50"/>
      <c r="AC41" s="62"/>
      <c r="AD41" s="65"/>
      <c r="AE41" s="65"/>
      <c r="AF41" s="62"/>
      <c r="AG41" s="62"/>
      <c r="AH41" s="72"/>
    </row>
    <row r="47">
      <c r="I47" s="75"/>
      <c r="J47" s="75"/>
      <c r="K47" s="75"/>
      <c r="L47" s="75"/>
    </row>
    <row r="48">
      <c r="A48" s="76" t="s">
        <v>198</v>
      </c>
      <c r="I48" s="75"/>
      <c r="J48" s="75"/>
      <c r="K48" s="75"/>
      <c r="L48" s="75"/>
    </row>
    <row r="49">
      <c r="I49" s="75"/>
      <c r="J49" s="75"/>
      <c r="K49" s="75"/>
      <c r="L49" s="75"/>
    </row>
    <row r="50">
      <c r="A50" s="77" t="s">
        <v>199</v>
      </c>
      <c r="I50" s="75"/>
      <c r="J50" s="75"/>
      <c r="K50" s="75"/>
      <c r="L50" s="75"/>
    </row>
    <row r="51">
      <c r="A51" s="78" t="s">
        <v>200</v>
      </c>
      <c r="I51" s="75"/>
      <c r="J51" s="75"/>
      <c r="K51" s="75"/>
      <c r="L51" s="75"/>
    </row>
    <row r="52">
      <c r="A52" s="77" t="s">
        <v>201</v>
      </c>
      <c r="I52" s="75"/>
      <c r="J52" s="75"/>
      <c r="K52" s="75"/>
      <c r="L52" s="75"/>
    </row>
    <row r="53">
      <c r="B53" s="29" t="s">
        <v>202</v>
      </c>
      <c r="C53" s="29">
        <v>10.0</v>
      </c>
      <c r="I53" s="75"/>
      <c r="J53" s="75"/>
      <c r="K53" s="75"/>
      <c r="L53" s="75"/>
    </row>
    <row r="54">
      <c r="B54" s="29" t="s">
        <v>203</v>
      </c>
      <c r="C54" s="32">
        <v>25.0</v>
      </c>
      <c r="I54" s="75"/>
      <c r="J54" s="75"/>
      <c r="K54" s="75"/>
      <c r="L54" s="75"/>
    </row>
    <row r="55">
      <c r="B55" s="29" t="s">
        <v>204</v>
      </c>
      <c r="C55" s="32" t="s">
        <v>205</v>
      </c>
      <c r="I55" s="75"/>
      <c r="J55" s="75"/>
      <c r="K55" s="75"/>
      <c r="L55" s="75"/>
    </row>
    <row r="56">
      <c r="A56" s="29" t="s">
        <v>206</v>
      </c>
      <c r="I56" s="75"/>
      <c r="J56" s="75"/>
      <c r="K56" s="75"/>
      <c r="L56" s="75"/>
    </row>
    <row r="57">
      <c r="I57" s="75"/>
      <c r="J57" s="75"/>
      <c r="K57" s="75"/>
      <c r="L57" s="75"/>
    </row>
    <row r="58">
      <c r="A58" s="29" t="s">
        <v>207</v>
      </c>
      <c r="B58" s="29" t="s">
        <v>208</v>
      </c>
      <c r="I58" s="75"/>
      <c r="J58" s="75"/>
      <c r="K58" s="75"/>
      <c r="L58" s="75"/>
      <c r="N58" s="29" t="s">
        <v>209</v>
      </c>
    </row>
    <row r="59">
      <c r="A59" s="29"/>
      <c r="B59" s="29"/>
      <c r="I59" s="75"/>
      <c r="J59" s="75"/>
      <c r="K59" s="75"/>
      <c r="L59" s="75"/>
      <c r="N59" s="29"/>
    </row>
    <row r="60">
      <c r="A60" s="29" t="s">
        <v>210</v>
      </c>
      <c r="B60" s="29" t="s">
        <v>211</v>
      </c>
      <c r="I60" s="75"/>
      <c r="J60" s="75"/>
      <c r="K60" s="75"/>
      <c r="L60" s="75"/>
      <c r="N60" s="29" t="s">
        <v>209</v>
      </c>
    </row>
    <row r="61">
      <c r="I61" s="75"/>
      <c r="J61" s="75"/>
      <c r="K61" s="75"/>
      <c r="L61" s="75"/>
    </row>
    <row r="62">
      <c r="A62" s="29" t="s">
        <v>212</v>
      </c>
      <c r="B62" s="29" t="s">
        <v>213</v>
      </c>
      <c r="I62" s="75"/>
      <c r="J62" s="75"/>
      <c r="K62" s="75"/>
      <c r="L62" s="75"/>
    </row>
    <row r="63">
      <c r="I63" s="75"/>
      <c r="J63" s="75"/>
      <c r="K63" s="75"/>
      <c r="L63" s="75"/>
    </row>
    <row r="64">
      <c r="A64" s="29" t="s">
        <v>214</v>
      </c>
      <c r="B64" s="29" t="s">
        <v>215</v>
      </c>
      <c r="I64" s="75"/>
      <c r="J64" s="75"/>
      <c r="K64" s="75"/>
      <c r="L64" s="75"/>
    </row>
    <row r="65">
      <c r="I65" s="75"/>
      <c r="J65" s="75"/>
      <c r="K65" s="75"/>
      <c r="L65" s="75"/>
    </row>
    <row r="66">
      <c r="I66" s="75"/>
      <c r="J66" s="75"/>
      <c r="K66" s="75"/>
      <c r="L66" s="75"/>
    </row>
    <row r="67">
      <c r="I67" s="75"/>
      <c r="J67" s="75"/>
      <c r="K67" s="75"/>
      <c r="L67" s="75"/>
    </row>
    <row r="68">
      <c r="I68" s="75"/>
      <c r="J68" s="75"/>
      <c r="K68" s="75"/>
      <c r="L68" s="75"/>
    </row>
    <row r="69">
      <c r="I69" s="75"/>
      <c r="J69" s="75"/>
      <c r="K69" s="75"/>
      <c r="L69" s="75"/>
    </row>
    <row r="70">
      <c r="I70" s="75"/>
      <c r="J70" s="75"/>
      <c r="K70" s="75"/>
      <c r="L70" s="75"/>
    </row>
    <row r="71">
      <c r="I71" s="75"/>
      <c r="J71" s="75"/>
      <c r="K71" s="75"/>
      <c r="L71" s="75"/>
    </row>
    <row r="72">
      <c r="I72" s="75"/>
      <c r="J72" s="75"/>
      <c r="K72" s="75"/>
      <c r="L72" s="75"/>
    </row>
    <row r="73">
      <c r="I73" s="75"/>
      <c r="J73" s="75"/>
      <c r="K73" s="75"/>
      <c r="L73" s="75"/>
    </row>
    <row r="74">
      <c r="I74" s="75"/>
      <c r="J74" s="75"/>
      <c r="K74" s="75"/>
      <c r="L74" s="75"/>
    </row>
    <row r="75">
      <c r="I75" s="75"/>
      <c r="J75" s="75"/>
      <c r="K75" s="75"/>
      <c r="L75" s="75"/>
    </row>
    <row r="76">
      <c r="I76" s="75"/>
      <c r="J76" s="75"/>
      <c r="K76" s="75"/>
      <c r="L76" s="75"/>
    </row>
    <row r="77">
      <c r="I77" s="75"/>
      <c r="J77" s="75"/>
      <c r="K77" s="75"/>
      <c r="L77" s="75"/>
    </row>
    <row r="78">
      <c r="I78" s="75"/>
      <c r="J78" s="75"/>
      <c r="K78" s="75"/>
      <c r="L78" s="75"/>
    </row>
    <row r="79">
      <c r="I79" s="75"/>
      <c r="J79" s="75"/>
      <c r="K79" s="75"/>
      <c r="L79" s="75"/>
    </row>
    <row r="80">
      <c r="I80" s="75"/>
      <c r="J80" s="75"/>
      <c r="K80" s="75"/>
      <c r="L80" s="75"/>
    </row>
    <row r="81">
      <c r="I81" s="75"/>
      <c r="J81" s="75"/>
      <c r="K81" s="75"/>
      <c r="L81" s="75"/>
    </row>
    <row r="82">
      <c r="I82" s="75"/>
      <c r="J82" s="75"/>
      <c r="K82" s="75"/>
      <c r="L82" s="75"/>
    </row>
    <row r="83">
      <c r="I83" s="75"/>
      <c r="J83" s="75"/>
      <c r="K83" s="75"/>
      <c r="L83" s="75"/>
    </row>
    <row r="84">
      <c r="I84" s="75"/>
      <c r="J84" s="75"/>
      <c r="K84" s="75"/>
      <c r="L84" s="75"/>
    </row>
    <row r="85">
      <c r="I85" s="75"/>
      <c r="J85" s="75"/>
      <c r="K85" s="75"/>
      <c r="L85" s="75"/>
    </row>
    <row r="86">
      <c r="I86" s="75"/>
      <c r="J86" s="75"/>
      <c r="K86" s="75"/>
      <c r="L86" s="75"/>
    </row>
    <row r="87">
      <c r="I87" s="75"/>
      <c r="J87" s="75"/>
      <c r="K87" s="75"/>
      <c r="L87" s="75"/>
    </row>
    <row r="88">
      <c r="I88" s="75"/>
      <c r="J88" s="75"/>
      <c r="K88" s="75"/>
      <c r="L88" s="75"/>
    </row>
    <row r="89">
      <c r="I89" s="75"/>
      <c r="J89" s="75"/>
      <c r="K89" s="75"/>
      <c r="L89" s="75"/>
    </row>
    <row r="90">
      <c r="I90" s="75"/>
      <c r="J90" s="75"/>
      <c r="K90" s="75"/>
      <c r="L90" s="75"/>
    </row>
    <row r="91">
      <c r="I91" s="75"/>
      <c r="J91" s="75"/>
      <c r="K91" s="75"/>
      <c r="L91" s="75"/>
    </row>
    <row r="92">
      <c r="I92" s="75"/>
      <c r="J92" s="75"/>
      <c r="K92" s="75"/>
      <c r="L92" s="75"/>
    </row>
    <row r="93">
      <c r="I93" s="75"/>
      <c r="J93" s="75"/>
      <c r="K93" s="75"/>
      <c r="L93" s="75"/>
    </row>
    <row r="94">
      <c r="I94" s="75"/>
      <c r="J94" s="75"/>
      <c r="K94" s="75"/>
      <c r="L94" s="75"/>
    </row>
    <row r="95">
      <c r="I95" s="75"/>
      <c r="J95" s="75"/>
      <c r="K95" s="75"/>
      <c r="L95" s="75"/>
    </row>
    <row r="96">
      <c r="I96" s="75"/>
      <c r="J96" s="75"/>
      <c r="K96" s="75"/>
      <c r="L96" s="75"/>
    </row>
    <row r="97">
      <c r="I97" s="75"/>
      <c r="J97" s="75"/>
      <c r="K97" s="75"/>
      <c r="L97" s="75"/>
    </row>
    <row r="98">
      <c r="I98" s="75"/>
      <c r="J98" s="75"/>
      <c r="K98" s="75"/>
      <c r="L98" s="75"/>
    </row>
    <row r="99">
      <c r="I99" s="75"/>
      <c r="J99" s="75"/>
      <c r="K99" s="75"/>
      <c r="L99" s="75"/>
    </row>
    <row r="100">
      <c r="I100" s="75"/>
      <c r="J100" s="75"/>
      <c r="K100" s="75"/>
      <c r="L100" s="75"/>
    </row>
    <row r="101">
      <c r="I101" s="75"/>
      <c r="J101" s="75"/>
      <c r="K101" s="75"/>
      <c r="L101" s="75"/>
    </row>
    <row r="102">
      <c r="I102" s="75"/>
      <c r="J102" s="75"/>
      <c r="K102" s="75"/>
      <c r="L102" s="75"/>
    </row>
    <row r="103">
      <c r="I103" s="75"/>
      <c r="J103" s="75"/>
      <c r="K103" s="75"/>
      <c r="L103" s="75"/>
    </row>
    <row r="104">
      <c r="I104" s="75"/>
      <c r="J104" s="75"/>
      <c r="K104" s="75"/>
      <c r="L104" s="75"/>
    </row>
    <row r="105">
      <c r="I105" s="75"/>
      <c r="J105" s="75"/>
      <c r="K105" s="75"/>
      <c r="L105" s="75"/>
    </row>
    <row r="106">
      <c r="I106" s="75"/>
      <c r="J106" s="75"/>
      <c r="K106" s="75"/>
      <c r="L106" s="75"/>
    </row>
    <row r="107">
      <c r="I107" s="75"/>
      <c r="J107" s="75"/>
      <c r="K107" s="75"/>
      <c r="L107" s="75"/>
    </row>
    <row r="108">
      <c r="I108" s="75"/>
      <c r="J108" s="75"/>
      <c r="K108" s="75"/>
      <c r="L108" s="75"/>
    </row>
    <row r="109">
      <c r="I109" s="75"/>
      <c r="J109" s="75"/>
      <c r="K109" s="75"/>
      <c r="L109" s="75"/>
    </row>
    <row r="110">
      <c r="I110" s="75"/>
      <c r="J110" s="75"/>
      <c r="K110" s="75"/>
      <c r="L110" s="75"/>
    </row>
    <row r="111">
      <c r="I111" s="75"/>
      <c r="J111" s="75"/>
      <c r="K111" s="75"/>
      <c r="L111" s="75"/>
    </row>
    <row r="112">
      <c r="I112" s="75"/>
      <c r="J112" s="75"/>
      <c r="K112" s="75"/>
      <c r="L112" s="75"/>
    </row>
    <row r="113">
      <c r="I113" s="75"/>
      <c r="J113" s="75"/>
      <c r="K113" s="75"/>
      <c r="L113" s="75"/>
    </row>
    <row r="114">
      <c r="I114" s="75"/>
      <c r="J114" s="75"/>
      <c r="K114" s="75"/>
      <c r="L114" s="75"/>
    </row>
    <row r="115">
      <c r="I115" s="75"/>
      <c r="J115" s="75"/>
      <c r="K115" s="75"/>
      <c r="L115" s="75"/>
    </row>
    <row r="116">
      <c r="I116" s="75"/>
      <c r="J116" s="75"/>
      <c r="K116" s="75"/>
      <c r="L116" s="75"/>
    </row>
    <row r="117">
      <c r="I117" s="75"/>
      <c r="J117" s="75"/>
      <c r="K117" s="75"/>
      <c r="L117" s="75"/>
    </row>
    <row r="118">
      <c r="I118" s="75"/>
      <c r="J118" s="75"/>
      <c r="K118" s="75"/>
      <c r="L118" s="75"/>
    </row>
    <row r="119">
      <c r="I119" s="75"/>
      <c r="J119" s="75"/>
      <c r="K119" s="75"/>
      <c r="L119" s="75"/>
    </row>
    <row r="120">
      <c r="I120" s="75"/>
      <c r="J120" s="75"/>
      <c r="K120" s="75"/>
      <c r="L120" s="75"/>
    </row>
    <row r="121">
      <c r="I121" s="75"/>
      <c r="J121" s="75"/>
      <c r="K121" s="75"/>
      <c r="L121" s="75"/>
    </row>
    <row r="122">
      <c r="I122" s="75"/>
      <c r="J122" s="75"/>
      <c r="K122" s="75"/>
      <c r="L122" s="75"/>
    </row>
    <row r="123">
      <c r="I123" s="75"/>
      <c r="J123" s="75"/>
      <c r="K123" s="75"/>
      <c r="L123" s="75"/>
    </row>
    <row r="124">
      <c r="I124" s="75"/>
      <c r="J124" s="75"/>
      <c r="K124" s="75"/>
      <c r="L124" s="75"/>
    </row>
    <row r="125">
      <c r="I125" s="75"/>
      <c r="J125" s="75"/>
      <c r="K125" s="75"/>
      <c r="L125" s="75"/>
    </row>
    <row r="126">
      <c r="I126" s="75"/>
      <c r="J126" s="75"/>
      <c r="K126" s="75"/>
      <c r="L126" s="75"/>
    </row>
    <row r="127">
      <c r="I127" s="75"/>
      <c r="J127" s="75"/>
      <c r="K127" s="75"/>
      <c r="L127" s="75"/>
    </row>
    <row r="128">
      <c r="I128" s="75"/>
      <c r="J128" s="75"/>
      <c r="K128" s="75"/>
      <c r="L128" s="75"/>
    </row>
    <row r="129">
      <c r="I129" s="75"/>
      <c r="J129" s="75"/>
      <c r="K129" s="75"/>
      <c r="L129" s="75"/>
    </row>
    <row r="130">
      <c r="I130" s="75"/>
      <c r="J130" s="75"/>
      <c r="K130" s="75"/>
      <c r="L130" s="75"/>
    </row>
    <row r="131">
      <c r="I131" s="75"/>
      <c r="J131" s="75"/>
      <c r="K131" s="75"/>
      <c r="L131" s="75"/>
    </row>
    <row r="132">
      <c r="I132" s="75"/>
      <c r="J132" s="75"/>
      <c r="K132" s="75"/>
      <c r="L132" s="75"/>
    </row>
    <row r="133">
      <c r="I133" s="75"/>
      <c r="J133" s="75"/>
      <c r="K133" s="75"/>
      <c r="L133" s="75"/>
    </row>
    <row r="134">
      <c r="I134" s="75"/>
      <c r="J134" s="75"/>
      <c r="K134" s="75"/>
      <c r="L134" s="75"/>
    </row>
    <row r="135">
      <c r="I135" s="75"/>
      <c r="J135" s="75"/>
      <c r="K135" s="75"/>
      <c r="L135" s="75"/>
    </row>
    <row r="136">
      <c r="I136" s="75"/>
      <c r="J136" s="75"/>
      <c r="K136" s="75"/>
      <c r="L136" s="75"/>
    </row>
    <row r="137">
      <c r="I137" s="75"/>
      <c r="J137" s="75"/>
      <c r="K137" s="75"/>
      <c r="L137" s="75"/>
    </row>
    <row r="138">
      <c r="I138" s="75"/>
      <c r="J138" s="75"/>
      <c r="K138" s="75"/>
      <c r="L138" s="75"/>
    </row>
    <row r="139">
      <c r="I139" s="75"/>
      <c r="J139" s="75"/>
      <c r="K139" s="75"/>
      <c r="L139" s="75"/>
    </row>
    <row r="140">
      <c r="I140" s="75"/>
      <c r="J140" s="75"/>
      <c r="K140" s="75"/>
      <c r="L140" s="75"/>
    </row>
    <row r="141">
      <c r="I141" s="75"/>
      <c r="J141" s="75"/>
      <c r="K141" s="75"/>
      <c r="L141" s="75"/>
    </row>
    <row r="142">
      <c r="I142" s="75"/>
      <c r="J142" s="75"/>
      <c r="K142" s="75"/>
      <c r="L142" s="75"/>
    </row>
    <row r="143">
      <c r="I143" s="75"/>
      <c r="J143" s="75"/>
      <c r="K143" s="75"/>
      <c r="L143" s="75"/>
    </row>
    <row r="144">
      <c r="I144" s="75"/>
      <c r="J144" s="75"/>
      <c r="K144" s="75"/>
      <c r="L144" s="75"/>
    </row>
    <row r="145">
      <c r="I145" s="75"/>
      <c r="J145" s="75"/>
      <c r="K145" s="75"/>
      <c r="L145" s="75"/>
    </row>
    <row r="146">
      <c r="I146" s="75"/>
      <c r="J146" s="75"/>
      <c r="K146" s="75"/>
      <c r="L146" s="75"/>
    </row>
    <row r="147">
      <c r="I147" s="75"/>
      <c r="J147" s="75"/>
      <c r="K147" s="75"/>
      <c r="L147" s="75"/>
    </row>
    <row r="148">
      <c r="I148" s="75"/>
      <c r="J148" s="75"/>
      <c r="K148" s="75"/>
      <c r="L148" s="75"/>
    </row>
    <row r="149">
      <c r="I149" s="75"/>
      <c r="J149" s="75"/>
      <c r="K149" s="75"/>
      <c r="L149" s="75"/>
    </row>
    <row r="150">
      <c r="I150" s="75"/>
      <c r="J150" s="75"/>
      <c r="K150" s="75"/>
      <c r="L150" s="75"/>
    </row>
    <row r="151">
      <c r="I151" s="75"/>
      <c r="J151" s="75"/>
      <c r="K151" s="75"/>
      <c r="L151" s="75"/>
    </row>
    <row r="152">
      <c r="I152" s="75"/>
      <c r="J152" s="75"/>
      <c r="K152" s="75"/>
      <c r="L152" s="75"/>
    </row>
    <row r="153">
      <c r="I153" s="75"/>
      <c r="J153" s="75"/>
      <c r="K153" s="75"/>
      <c r="L153" s="75"/>
    </row>
    <row r="154">
      <c r="I154" s="75"/>
      <c r="J154" s="75"/>
      <c r="K154" s="75"/>
      <c r="L154" s="75"/>
    </row>
    <row r="155">
      <c r="I155" s="75"/>
      <c r="J155" s="75"/>
      <c r="K155" s="75"/>
      <c r="L155" s="75"/>
    </row>
    <row r="156">
      <c r="I156" s="75"/>
      <c r="J156" s="75"/>
      <c r="K156" s="75"/>
      <c r="L156" s="75"/>
    </row>
    <row r="157">
      <c r="I157" s="75"/>
      <c r="J157" s="75"/>
      <c r="K157" s="75"/>
      <c r="L157" s="75"/>
    </row>
    <row r="158">
      <c r="I158" s="75"/>
      <c r="J158" s="75"/>
      <c r="K158" s="75"/>
      <c r="L158" s="75"/>
    </row>
    <row r="159">
      <c r="I159" s="75"/>
      <c r="J159" s="75"/>
      <c r="K159" s="75"/>
      <c r="L159" s="75"/>
    </row>
    <row r="160">
      <c r="I160" s="75"/>
      <c r="J160" s="75"/>
      <c r="K160" s="75"/>
      <c r="L160" s="75"/>
    </row>
    <row r="161">
      <c r="I161" s="75"/>
      <c r="J161" s="75"/>
      <c r="K161" s="75"/>
      <c r="L161" s="75"/>
    </row>
    <row r="162">
      <c r="I162" s="75"/>
      <c r="J162" s="75"/>
      <c r="K162" s="75"/>
      <c r="L162" s="75"/>
    </row>
    <row r="163">
      <c r="I163" s="75"/>
      <c r="J163" s="75"/>
      <c r="K163" s="75"/>
      <c r="L163" s="75"/>
    </row>
    <row r="164">
      <c r="I164" s="75"/>
      <c r="J164" s="75"/>
      <c r="K164" s="75"/>
      <c r="L164" s="75"/>
    </row>
    <row r="165">
      <c r="I165" s="75"/>
      <c r="J165" s="75"/>
      <c r="K165" s="75"/>
      <c r="L165" s="75"/>
    </row>
    <row r="166">
      <c r="I166" s="75"/>
      <c r="J166" s="75"/>
      <c r="K166" s="75"/>
      <c r="L166" s="75"/>
    </row>
    <row r="167">
      <c r="I167" s="75"/>
      <c r="J167" s="75"/>
      <c r="K167" s="75"/>
      <c r="L167" s="75"/>
    </row>
    <row r="168">
      <c r="I168" s="75"/>
      <c r="J168" s="75"/>
      <c r="K168" s="75"/>
      <c r="L168" s="75"/>
    </row>
    <row r="169">
      <c r="I169" s="75"/>
      <c r="J169" s="75"/>
      <c r="K169" s="75"/>
      <c r="L169" s="75"/>
    </row>
    <row r="170">
      <c r="I170" s="75"/>
      <c r="J170" s="75"/>
      <c r="K170" s="75"/>
      <c r="L170" s="75"/>
    </row>
    <row r="171">
      <c r="I171" s="75"/>
      <c r="J171" s="75"/>
      <c r="K171" s="75"/>
      <c r="L171" s="75"/>
    </row>
    <row r="172">
      <c r="I172" s="75"/>
      <c r="J172" s="75"/>
      <c r="K172" s="75"/>
      <c r="L172" s="75"/>
    </row>
    <row r="173">
      <c r="I173" s="75"/>
      <c r="J173" s="75"/>
      <c r="K173" s="75"/>
      <c r="L173" s="75"/>
    </row>
    <row r="174">
      <c r="I174" s="75"/>
      <c r="J174" s="75"/>
      <c r="K174" s="75"/>
      <c r="L174" s="75"/>
    </row>
    <row r="175">
      <c r="I175" s="75"/>
      <c r="J175" s="75"/>
      <c r="K175" s="75"/>
      <c r="L175" s="75"/>
    </row>
    <row r="176">
      <c r="I176" s="75"/>
      <c r="J176" s="75"/>
      <c r="K176" s="75"/>
      <c r="L176" s="75"/>
    </row>
    <row r="177">
      <c r="I177" s="75"/>
      <c r="J177" s="75"/>
      <c r="K177" s="75"/>
      <c r="L177" s="75"/>
    </row>
    <row r="178">
      <c r="I178" s="75"/>
      <c r="J178" s="75"/>
      <c r="K178" s="75"/>
      <c r="L178" s="75"/>
    </row>
    <row r="179">
      <c r="I179" s="75"/>
      <c r="J179" s="75"/>
      <c r="K179" s="75"/>
      <c r="L179" s="75"/>
    </row>
    <row r="180">
      <c r="I180" s="75"/>
      <c r="J180" s="75"/>
      <c r="K180" s="75"/>
      <c r="L180" s="75"/>
    </row>
    <row r="181">
      <c r="I181" s="75"/>
      <c r="J181" s="75"/>
      <c r="K181" s="75"/>
      <c r="L181" s="75"/>
    </row>
    <row r="182">
      <c r="I182" s="75"/>
      <c r="J182" s="75"/>
      <c r="K182" s="75"/>
      <c r="L182" s="75"/>
    </row>
    <row r="183">
      <c r="I183" s="75"/>
      <c r="J183" s="75"/>
      <c r="K183" s="75"/>
      <c r="L183" s="75"/>
    </row>
    <row r="184">
      <c r="I184" s="75"/>
      <c r="J184" s="75"/>
      <c r="K184" s="75"/>
      <c r="L184" s="75"/>
    </row>
    <row r="185">
      <c r="I185" s="75"/>
      <c r="J185" s="75"/>
      <c r="K185" s="75"/>
      <c r="L185" s="75"/>
    </row>
    <row r="186">
      <c r="I186" s="75"/>
      <c r="J186" s="75"/>
      <c r="K186" s="75"/>
      <c r="L186" s="75"/>
    </row>
    <row r="187">
      <c r="I187" s="75"/>
      <c r="J187" s="75"/>
      <c r="K187" s="75"/>
      <c r="L187" s="75"/>
    </row>
    <row r="188">
      <c r="I188" s="75"/>
      <c r="J188" s="75"/>
      <c r="K188" s="75"/>
      <c r="L188" s="75"/>
    </row>
    <row r="189">
      <c r="I189" s="75"/>
      <c r="J189" s="75"/>
      <c r="K189" s="75"/>
      <c r="L189" s="75"/>
    </row>
    <row r="190">
      <c r="I190" s="75"/>
      <c r="J190" s="75"/>
      <c r="K190" s="75"/>
      <c r="L190" s="75"/>
    </row>
    <row r="191">
      <c r="I191" s="75"/>
      <c r="J191" s="75"/>
      <c r="K191" s="75"/>
      <c r="L191" s="75"/>
    </row>
    <row r="192">
      <c r="I192" s="75"/>
      <c r="J192" s="75"/>
      <c r="K192" s="75"/>
      <c r="L192" s="75"/>
    </row>
    <row r="193">
      <c r="I193" s="75"/>
      <c r="J193" s="75"/>
      <c r="K193" s="75"/>
      <c r="L193" s="75"/>
    </row>
    <row r="194">
      <c r="I194" s="75"/>
      <c r="J194" s="75"/>
      <c r="K194" s="75"/>
      <c r="L194" s="75"/>
    </row>
    <row r="195">
      <c r="I195" s="75"/>
      <c r="J195" s="75"/>
      <c r="K195" s="75"/>
      <c r="L195" s="75"/>
    </row>
    <row r="196">
      <c r="I196" s="75"/>
      <c r="J196" s="75"/>
      <c r="K196" s="75"/>
      <c r="L196" s="75"/>
    </row>
    <row r="197">
      <c r="I197" s="75"/>
      <c r="J197" s="75"/>
      <c r="K197" s="75"/>
      <c r="L197" s="75"/>
    </row>
    <row r="198">
      <c r="I198" s="75"/>
      <c r="J198" s="75"/>
      <c r="K198" s="75"/>
      <c r="L198" s="75"/>
    </row>
    <row r="199">
      <c r="I199" s="75"/>
      <c r="J199" s="75"/>
      <c r="K199" s="75"/>
      <c r="L199" s="75"/>
    </row>
    <row r="200">
      <c r="I200" s="75"/>
      <c r="J200" s="75"/>
      <c r="K200" s="75"/>
      <c r="L200" s="75"/>
    </row>
    <row r="201">
      <c r="I201" s="75"/>
      <c r="J201" s="75"/>
      <c r="K201" s="75"/>
      <c r="L201" s="75"/>
    </row>
    <row r="202">
      <c r="I202" s="75"/>
      <c r="J202" s="75"/>
      <c r="K202" s="75"/>
      <c r="L202" s="75"/>
    </row>
    <row r="203">
      <c r="I203" s="75"/>
      <c r="J203" s="75"/>
      <c r="K203" s="75"/>
      <c r="L203" s="75"/>
    </row>
    <row r="204">
      <c r="I204" s="75"/>
      <c r="J204" s="75"/>
      <c r="K204" s="75"/>
      <c r="L204" s="75"/>
    </row>
    <row r="205">
      <c r="I205" s="75"/>
      <c r="J205" s="75"/>
      <c r="K205" s="75"/>
      <c r="L205" s="75"/>
    </row>
    <row r="206">
      <c r="I206" s="75"/>
      <c r="J206" s="75"/>
      <c r="K206" s="75"/>
      <c r="L206" s="75"/>
    </row>
    <row r="207">
      <c r="I207" s="75"/>
      <c r="J207" s="75"/>
      <c r="K207" s="75"/>
      <c r="L207" s="75"/>
    </row>
    <row r="208">
      <c r="I208" s="75"/>
      <c r="J208" s="75"/>
      <c r="K208" s="75"/>
      <c r="L208" s="75"/>
    </row>
    <row r="209">
      <c r="I209" s="75"/>
      <c r="J209" s="75"/>
      <c r="K209" s="75"/>
      <c r="L209" s="75"/>
    </row>
    <row r="210">
      <c r="I210" s="75"/>
      <c r="J210" s="75"/>
      <c r="K210" s="75"/>
      <c r="L210" s="75"/>
    </row>
    <row r="211">
      <c r="I211" s="75"/>
      <c r="J211" s="75"/>
      <c r="K211" s="75"/>
      <c r="L211" s="75"/>
    </row>
    <row r="212">
      <c r="I212" s="75"/>
      <c r="J212" s="75"/>
      <c r="K212" s="75"/>
      <c r="L212" s="75"/>
    </row>
    <row r="213">
      <c r="I213" s="75"/>
      <c r="J213" s="75"/>
      <c r="K213" s="75"/>
      <c r="L213" s="75"/>
    </row>
    <row r="214">
      <c r="I214" s="75"/>
      <c r="J214" s="75"/>
      <c r="K214" s="75"/>
      <c r="L214" s="75"/>
    </row>
    <row r="215">
      <c r="I215" s="75"/>
      <c r="J215" s="75"/>
      <c r="K215" s="75"/>
      <c r="L215" s="75"/>
    </row>
    <row r="216">
      <c r="I216" s="75"/>
      <c r="J216" s="75"/>
      <c r="K216" s="75"/>
      <c r="L216" s="75"/>
    </row>
    <row r="217">
      <c r="I217" s="75"/>
      <c r="J217" s="75"/>
      <c r="K217" s="75"/>
      <c r="L217" s="75"/>
    </row>
    <row r="218">
      <c r="I218" s="75"/>
      <c r="J218" s="75"/>
      <c r="K218" s="75"/>
      <c r="L218" s="75"/>
    </row>
    <row r="219">
      <c r="I219" s="75"/>
      <c r="J219" s="75"/>
      <c r="K219" s="75"/>
      <c r="L219" s="75"/>
    </row>
    <row r="220">
      <c r="I220" s="75"/>
      <c r="J220" s="75"/>
      <c r="K220" s="75"/>
      <c r="L220" s="75"/>
    </row>
    <row r="221">
      <c r="I221" s="75"/>
      <c r="J221" s="75"/>
      <c r="K221" s="75"/>
      <c r="L221" s="75"/>
    </row>
    <row r="222">
      <c r="I222" s="75"/>
      <c r="J222" s="75"/>
      <c r="K222" s="75"/>
      <c r="L222" s="75"/>
    </row>
    <row r="223">
      <c r="I223" s="75"/>
      <c r="J223" s="75"/>
      <c r="K223" s="75"/>
      <c r="L223" s="75"/>
    </row>
    <row r="224">
      <c r="I224" s="75"/>
      <c r="J224" s="75"/>
      <c r="K224" s="75"/>
      <c r="L224" s="75"/>
    </row>
    <row r="225">
      <c r="I225" s="75"/>
      <c r="J225" s="75"/>
      <c r="K225" s="75"/>
      <c r="L225" s="75"/>
    </row>
    <row r="226">
      <c r="I226" s="75"/>
      <c r="J226" s="75"/>
      <c r="K226" s="75"/>
      <c r="L226" s="75"/>
    </row>
    <row r="227">
      <c r="I227" s="75"/>
      <c r="J227" s="75"/>
      <c r="K227" s="75"/>
      <c r="L227" s="75"/>
    </row>
    <row r="228">
      <c r="I228" s="75"/>
      <c r="J228" s="75"/>
      <c r="K228" s="75"/>
      <c r="L228" s="75"/>
    </row>
    <row r="229">
      <c r="I229" s="75"/>
      <c r="J229" s="75"/>
      <c r="K229" s="75"/>
      <c r="L229" s="75"/>
    </row>
    <row r="230">
      <c r="I230" s="75"/>
      <c r="J230" s="75"/>
      <c r="K230" s="75"/>
      <c r="L230" s="75"/>
    </row>
    <row r="231">
      <c r="I231" s="75"/>
      <c r="J231" s="75"/>
      <c r="K231" s="75"/>
      <c r="L231" s="75"/>
    </row>
    <row r="232">
      <c r="I232" s="75"/>
      <c r="J232" s="75"/>
      <c r="K232" s="75"/>
      <c r="L232" s="75"/>
    </row>
    <row r="233">
      <c r="I233" s="75"/>
      <c r="J233" s="75"/>
      <c r="K233" s="75"/>
      <c r="L233" s="75"/>
    </row>
    <row r="234">
      <c r="I234" s="75"/>
      <c r="J234" s="75"/>
      <c r="K234" s="75"/>
      <c r="L234" s="75"/>
    </row>
    <row r="235">
      <c r="I235" s="75"/>
      <c r="J235" s="75"/>
      <c r="K235" s="75"/>
      <c r="L235" s="75"/>
    </row>
    <row r="236">
      <c r="I236" s="75"/>
      <c r="J236" s="75"/>
      <c r="K236" s="75"/>
      <c r="L236" s="75"/>
    </row>
    <row r="237">
      <c r="I237" s="75"/>
      <c r="J237" s="75"/>
      <c r="K237" s="75"/>
      <c r="L237" s="75"/>
    </row>
    <row r="238">
      <c r="I238" s="75"/>
      <c r="J238" s="75"/>
      <c r="K238" s="75"/>
      <c r="L238" s="75"/>
    </row>
    <row r="239">
      <c r="I239" s="75"/>
      <c r="J239" s="75"/>
      <c r="K239" s="75"/>
      <c r="L239" s="75"/>
    </row>
    <row r="240">
      <c r="I240" s="75"/>
      <c r="J240" s="75"/>
      <c r="K240" s="75"/>
      <c r="L240" s="75"/>
    </row>
    <row r="241">
      <c r="I241" s="75"/>
      <c r="J241" s="75"/>
      <c r="K241" s="75"/>
      <c r="L241" s="75"/>
    </row>
    <row r="242">
      <c r="I242" s="75"/>
      <c r="J242" s="75"/>
      <c r="K242" s="75"/>
      <c r="L242" s="75"/>
    </row>
    <row r="243">
      <c r="I243" s="75"/>
      <c r="J243" s="75"/>
      <c r="K243" s="75"/>
      <c r="L243" s="75"/>
    </row>
    <row r="244">
      <c r="I244" s="75"/>
      <c r="J244" s="75"/>
      <c r="K244" s="75"/>
      <c r="L244" s="75"/>
    </row>
    <row r="245">
      <c r="I245" s="75"/>
      <c r="J245" s="75"/>
      <c r="K245" s="75"/>
      <c r="L245" s="75"/>
    </row>
    <row r="246">
      <c r="I246" s="75"/>
      <c r="J246" s="75"/>
      <c r="K246" s="75"/>
      <c r="L246" s="75"/>
    </row>
    <row r="247">
      <c r="I247" s="75"/>
      <c r="J247" s="75"/>
      <c r="K247" s="75"/>
      <c r="L247" s="75"/>
    </row>
    <row r="248">
      <c r="I248" s="75"/>
      <c r="J248" s="75"/>
      <c r="K248" s="75"/>
      <c r="L248" s="75"/>
    </row>
    <row r="249">
      <c r="I249" s="75"/>
      <c r="J249" s="75"/>
      <c r="K249" s="75"/>
      <c r="L249" s="75"/>
    </row>
    <row r="250">
      <c r="I250" s="75"/>
      <c r="J250" s="75"/>
      <c r="K250" s="75"/>
      <c r="L250" s="75"/>
    </row>
    <row r="251">
      <c r="I251" s="75"/>
      <c r="J251" s="75"/>
      <c r="K251" s="75"/>
      <c r="L251" s="75"/>
    </row>
    <row r="252">
      <c r="I252" s="75"/>
      <c r="J252" s="75"/>
      <c r="K252" s="75"/>
      <c r="L252" s="75"/>
    </row>
    <row r="253">
      <c r="I253" s="75"/>
      <c r="J253" s="75"/>
      <c r="K253" s="75"/>
      <c r="L253" s="75"/>
    </row>
    <row r="254">
      <c r="I254" s="75"/>
      <c r="J254" s="75"/>
      <c r="K254" s="75"/>
      <c r="L254" s="75"/>
    </row>
    <row r="255">
      <c r="I255" s="75"/>
      <c r="J255" s="75"/>
      <c r="K255" s="75"/>
      <c r="L255" s="75"/>
    </row>
    <row r="256">
      <c r="I256" s="75"/>
      <c r="J256" s="75"/>
      <c r="K256" s="75"/>
      <c r="L256" s="75"/>
    </row>
    <row r="257">
      <c r="I257" s="75"/>
      <c r="J257" s="75"/>
      <c r="K257" s="75"/>
      <c r="L257" s="75"/>
    </row>
    <row r="258">
      <c r="I258" s="75"/>
      <c r="J258" s="75"/>
      <c r="K258" s="75"/>
      <c r="L258" s="75"/>
    </row>
    <row r="259">
      <c r="I259" s="75"/>
      <c r="J259" s="75"/>
      <c r="K259" s="75"/>
      <c r="L259" s="75"/>
    </row>
    <row r="260">
      <c r="I260" s="75"/>
      <c r="J260" s="75"/>
      <c r="K260" s="75"/>
      <c r="L260" s="75"/>
    </row>
    <row r="261">
      <c r="I261" s="75"/>
      <c r="J261" s="75"/>
      <c r="K261" s="75"/>
      <c r="L261" s="75"/>
    </row>
    <row r="262">
      <c r="I262" s="75"/>
      <c r="J262" s="75"/>
      <c r="K262" s="75"/>
      <c r="L262" s="75"/>
    </row>
    <row r="263">
      <c r="I263" s="75"/>
      <c r="J263" s="75"/>
      <c r="K263" s="75"/>
      <c r="L263" s="75"/>
    </row>
    <row r="264">
      <c r="I264" s="75"/>
      <c r="J264" s="75"/>
      <c r="K264" s="75"/>
      <c r="L264" s="75"/>
    </row>
    <row r="265">
      <c r="I265" s="75"/>
      <c r="J265" s="75"/>
      <c r="K265" s="75"/>
      <c r="L265" s="75"/>
    </row>
    <row r="266">
      <c r="I266" s="75"/>
      <c r="J266" s="75"/>
      <c r="K266" s="75"/>
      <c r="L266" s="75"/>
    </row>
    <row r="267">
      <c r="I267" s="75"/>
      <c r="J267" s="75"/>
      <c r="K267" s="75"/>
      <c r="L267" s="75"/>
    </row>
    <row r="268">
      <c r="I268" s="75"/>
      <c r="J268" s="75"/>
      <c r="K268" s="75"/>
      <c r="L268" s="75"/>
    </row>
    <row r="269">
      <c r="I269" s="75"/>
      <c r="J269" s="75"/>
      <c r="K269" s="75"/>
      <c r="L269" s="75"/>
    </row>
    <row r="270">
      <c r="I270" s="75"/>
      <c r="J270" s="75"/>
      <c r="K270" s="75"/>
      <c r="L270" s="75"/>
    </row>
    <row r="271">
      <c r="I271" s="75"/>
      <c r="J271" s="75"/>
      <c r="K271" s="75"/>
      <c r="L271" s="75"/>
    </row>
    <row r="272">
      <c r="I272" s="75"/>
      <c r="J272" s="75"/>
      <c r="K272" s="75"/>
      <c r="L272" s="75"/>
    </row>
    <row r="273">
      <c r="I273" s="75"/>
      <c r="J273" s="75"/>
      <c r="K273" s="75"/>
      <c r="L273" s="75"/>
    </row>
    <row r="274">
      <c r="I274" s="75"/>
      <c r="J274" s="75"/>
      <c r="K274" s="75"/>
      <c r="L274" s="75"/>
    </row>
    <row r="275">
      <c r="I275" s="75"/>
      <c r="J275" s="75"/>
      <c r="K275" s="75"/>
      <c r="L275" s="75"/>
    </row>
    <row r="276">
      <c r="I276" s="75"/>
      <c r="J276" s="75"/>
      <c r="K276" s="75"/>
      <c r="L276" s="75"/>
    </row>
    <row r="277">
      <c r="I277" s="75"/>
      <c r="J277" s="75"/>
      <c r="K277" s="75"/>
      <c r="L277" s="75"/>
    </row>
    <row r="278">
      <c r="I278" s="75"/>
      <c r="J278" s="75"/>
      <c r="K278" s="75"/>
      <c r="L278" s="75"/>
    </row>
    <row r="279">
      <c r="I279" s="75"/>
      <c r="J279" s="75"/>
      <c r="K279" s="75"/>
      <c r="L279" s="75"/>
    </row>
    <row r="280">
      <c r="I280" s="75"/>
      <c r="J280" s="75"/>
      <c r="K280" s="75"/>
      <c r="L280" s="75"/>
    </row>
    <row r="281">
      <c r="I281" s="75"/>
      <c r="J281" s="75"/>
      <c r="K281" s="75"/>
      <c r="L281" s="75"/>
    </row>
    <row r="282">
      <c r="I282" s="75"/>
      <c r="J282" s="75"/>
      <c r="K282" s="75"/>
      <c r="L282" s="75"/>
    </row>
    <row r="283">
      <c r="I283" s="75"/>
      <c r="J283" s="75"/>
      <c r="K283" s="75"/>
      <c r="L283" s="75"/>
    </row>
    <row r="284">
      <c r="I284" s="75"/>
      <c r="J284" s="75"/>
      <c r="K284" s="75"/>
      <c r="L284" s="75"/>
    </row>
    <row r="285">
      <c r="I285" s="75"/>
      <c r="J285" s="75"/>
      <c r="K285" s="75"/>
      <c r="L285" s="75"/>
    </row>
    <row r="286">
      <c r="I286" s="75"/>
      <c r="J286" s="75"/>
      <c r="K286" s="75"/>
      <c r="L286" s="75"/>
    </row>
    <row r="287">
      <c r="I287" s="75"/>
      <c r="J287" s="75"/>
      <c r="K287" s="75"/>
      <c r="L287" s="75"/>
    </row>
    <row r="288">
      <c r="I288" s="75"/>
      <c r="J288" s="75"/>
      <c r="K288" s="75"/>
      <c r="L288" s="75"/>
    </row>
    <row r="289">
      <c r="I289" s="75"/>
      <c r="J289" s="75"/>
      <c r="K289" s="75"/>
      <c r="L289" s="75"/>
    </row>
    <row r="290">
      <c r="I290" s="75"/>
      <c r="J290" s="75"/>
      <c r="K290" s="75"/>
      <c r="L290" s="75"/>
    </row>
    <row r="291">
      <c r="I291" s="75"/>
      <c r="J291" s="75"/>
      <c r="K291" s="75"/>
      <c r="L291" s="75"/>
    </row>
    <row r="292">
      <c r="I292" s="75"/>
      <c r="J292" s="75"/>
      <c r="K292" s="75"/>
      <c r="L292" s="75"/>
    </row>
    <row r="293">
      <c r="I293" s="75"/>
      <c r="J293" s="75"/>
      <c r="K293" s="75"/>
      <c r="L293" s="75"/>
    </row>
    <row r="294">
      <c r="I294" s="75"/>
      <c r="J294" s="75"/>
      <c r="K294" s="75"/>
      <c r="L294" s="75"/>
    </row>
    <row r="295">
      <c r="I295" s="75"/>
      <c r="J295" s="75"/>
      <c r="K295" s="75"/>
      <c r="L295" s="75"/>
    </row>
    <row r="296">
      <c r="I296" s="75"/>
      <c r="J296" s="75"/>
      <c r="K296" s="75"/>
      <c r="L296" s="75"/>
    </row>
    <row r="297">
      <c r="I297" s="75"/>
      <c r="J297" s="75"/>
      <c r="K297" s="75"/>
      <c r="L297" s="75"/>
    </row>
    <row r="298">
      <c r="I298" s="75"/>
      <c r="J298" s="75"/>
      <c r="K298" s="75"/>
      <c r="L298" s="75"/>
    </row>
    <row r="299">
      <c r="I299" s="75"/>
      <c r="J299" s="75"/>
      <c r="K299" s="75"/>
      <c r="L299" s="75"/>
    </row>
    <row r="300">
      <c r="I300" s="75"/>
      <c r="J300" s="75"/>
      <c r="K300" s="75"/>
      <c r="L300" s="75"/>
    </row>
    <row r="301">
      <c r="I301" s="75"/>
      <c r="J301" s="75"/>
      <c r="K301" s="75"/>
      <c r="L301" s="75"/>
    </row>
    <row r="302">
      <c r="I302" s="75"/>
      <c r="J302" s="75"/>
      <c r="K302" s="75"/>
      <c r="L302" s="75"/>
    </row>
    <row r="303">
      <c r="I303" s="75"/>
      <c r="J303" s="75"/>
      <c r="K303" s="75"/>
      <c r="L303" s="75"/>
    </row>
    <row r="304">
      <c r="I304" s="75"/>
      <c r="J304" s="75"/>
      <c r="K304" s="75"/>
      <c r="L304" s="75"/>
    </row>
    <row r="305">
      <c r="I305" s="75"/>
      <c r="J305" s="75"/>
      <c r="K305" s="75"/>
      <c r="L305" s="75"/>
    </row>
    <row r="306">
      <c r="I306" s="75"/>
      <c r="J306" s="75"/>
      <c r="K306" s="75"/>
      <c r="L306" s="75"/>
    </row>
    <row r="307">
      <c r="I307" s="75"/>
      <c r="J307" s="75"/>
      <c r="K307" s="75"/>
      <c r="L307" s="75"/>
    </row>
    <row r="308">
      <c r="I308" s="75"/>
      <c r="J308" s="75"/>
      <c r="K308" s="75"/>
      <c r="L308" s="75"/>
    </row>
    <row r="309">
      <c r="I309" s="75"/>
      <c r="J309" s="75"/>
      <c r="K309" s="75"/>
      <c r="L309" s="75"/>
    </row>
    <row r="310">
      <c r="I310" s="75"/>
      <c r="J310" s="75"/>
      <c r="K310" s="75"/>
      <c r="L310" s="75"/>
    </row>
    <row r="311">
      <c r="I311" s="75"/>
      <c r="J311" s="75"/>
      <c r="K311" s="75"/>
      <c r="L311" s="75"/>
    </row>
    <row r="312">
      <c r="I312" s="75"/>
      <c r="J312" s="75"/>
      <c r="K312" s="75"/>
      <c r="L312" s="75"/>
    </row>
    <row r="313">
      <c r="I313" s="75"/>
      <c r="J313" s="75"/>
      <c r="K313" s="75"/>
      <c r="L313" s="75"/>
    </row>
    <row r="314">
      <c r="I314" s="75"/>
      <c r="J314" s="75"/>
      <c r="K314" s="75"/>
      <c r="L314" s="75"/>
    </row>
    <row r="315">
      <c r="I315" s="75"/>
      <c r="J315" s="75"/>
      <c r="K315" s="75"/>
      <c r="L315" s="75"/>
    </row>
    <row r="316">
      <c r="I316" s="75"/>
      <c r="J316" s="75"/>
      <c r="K316" s="75"/>
      <c r="L316" s="75"/>
    </row>
    <row r="317">
      <c r="I317" s="75"/>
      <c r="J317" s="75"/>
      <c r="K317" s="75"/>
      <c r="L317" s="75"/>
    </row>
    <row r="318">
      <c r="I318" s="75"/>
      <c r="J318" s="75"/>
      <c r="K318" s="75"/>
      <c r="L318" s="75"/>
    </row>
    <row r="319">
      <c r="I319" s="75"/>
      <c r="J319" s="75"/>
      <c r="K319" s="75"/>
      <c r="L319" s="75"/>
    </row>
    <row r="320">
      <c r="I320" s="75"/>
      <c r="J320" s="75"/>
      <c r="K320" s="75"/>
      <c r="L320" s="75"/>
    </row>
    <row r="321">
      <c r="I321" s="75"/>
      <c r="J321" s="75"/>
      <c r="K321" s="75"/>
      <c r="L321" s="75"/>
    </row>
    <row r="322">
      <c r="I322" s="75"/>
      <c r="J322" s="75"/>
      <c r="K322" s="75"/>
      <c r="L322" s="75"/>
    </row>
    <row r="323">
      <c r="I323" s="75"/>
      <c r="J323" s="75"/>
      <c r="K323" s="75"/>
      <c r="L323" s="75"/>
    </row>
    <row r="324">
      <c r="I324" s="75"/>
      <c r="J324" s="75"/>
      <c r="K324" s="75"/>
      <c r="L324" s="75"/>
    </row>
    <row r="325">
      <c r="I325" s="75"/>
      <c r="J325" s="75"/>
      <c r="K325" s="75"/>
      <c r="L325" s="75"/>
    </row>
    <row r="326">
      <c r="I326" s="75"/>
      <c r="J326" s="75"/>
      <c r="K326" s="75"/>
      <c r="L326" s="75"/>
    </row>
    <row r="327">
      <c r="I327" s="75"/>
      <c r="J327" s="75"/>
      <c r="K327" s="75"/>
      <c r="L327" s="75"/>
    </row>
    <row r="328">
      <c r="I328" s="75"/>
      <c r="J328" s="75"/>
      <c r="K328" s="75"/>
      <c r="L328" s="75"/>
    </row>
    <row r="329">
      <c r="I329" s="75"/>
      <c r="J329" s="75"/>
      <c r="K329" s="75"/>
      <c r="L329" s="75"/>
    </row>
    <row r="330">
      <c r="I330" s="75"/>
      <c r="J330" s="75"/>
      <c r="K330" s="75"/>
      <c r="L330" s="75"/>
    </row>
    <row r="331">
      <c r="I331" s="75"/>
      <c r="J331" s="75"/>
      <c r="K331" s="75"/>
      <c r="L331" s="75"/>
    </row>
    <row r="332">
      <c r="I332" s="75"/>
      <c r="J332" s="75"/>
      <c r="K332" s="75"/>
      <c r="L332" s="75"/>
    </row>
    <row r="333">
      <c r="I333" s="75"/>
      <c r="J333" s="75"/>
      <c r="K333" s="75"/>
      <c r="L333" s="75"/>
    </row>
    <row r="334">
      <c r="I334" s="75"/>
      <c r="J334" s="75"/>
      <c r="K334" s="75"/>
      <c r="L334" s="75"/>
    </row>
    <row r="335">
      <c r="I335" s="75"/>
      <c r="J335" s="75"/>
      <c r="K335" s="75"/>
      <c r="L335" s="75"/>
    </row>
    <row r="336">
      <c r="I336" s="75"/>
      <c r="J336" s="75"/>
      <c r="K336" s="75"/>
      <c r="L336" s="75"/>
    </row>
    <row r="337">
      <c r="I337" s="75"/>
      <c r="J337" s="75"/>
      <c r="K337" s="75"/>
      <c r="L337" s="75"/>
    </row>
    <row r="338">
      <c r="I338" s="75"/>
      <c r="J338" s="75"/>
      <c r="K338" s="75"/>
      <c r="L338" s="75"/>
    </row>
    <row r="339">
      <c r="I339" s="75"/>
      <c r="J339" s="75"/>
      <c r="K339" s="75"/>
      <c r="L339" s="75"/>
    </row>
    <row r="340">
      <c r="I340" s="75"/>
      <c r="J340" s="75"/>
      <c r="K340" s="75"/>
      <c r="L340" s="75"/>
    </row>
    <row r="341">
      <c r="I341" s="75"/>
      <c r="J341" s="75"/>
      <c r="K341" s="75"/>
      <c r="L341" s="75"/>
    </row>
    <row r="342">
      <c r="I342" s="75"/>
      <c r="J342" s="75"/>
      <c r="K342" s="75"/>
      <c r="L342" s="75"/>
    </row>
    <row r="343">
      <c r="I343" s="75"/>
      <c r="J343" s="75"/>
      <c r="K343" s="75"/>
      <c r="L343" s="75"/>
    </row>
    <row r="344">
      <c r="I344" s="75"/>
      <c r="J344" s="75"/>
      <c r="K344" s="75"/>
      <c r="L344" s="75"/>
    </row>
    <row r="345">
      <c r="I345" s="75"/>
      <c r="J345" s="75"/>
      <c r="K345" s="75"/>
      <c r="L345" s="75"/>
    </row>
    <row r="346">
      <c r="I346" s="75"/>
      <c r="J346" s="75"/>
      <c r="K346" s="75"/>
      <c r="L346" s="75"/>
    </row>
    <row r="347">
      <c r="I347" s="75"/>
      <c r="J347" s="75"/>
      <c r="K347" s="75"/>
      <c r="L347" s="75"/>
    </row>
    <row r="348">
      <c r="I348" s="75"/>
      <c r="J348" s="75"/>
      <c r="K348" s="75"/>
      <c r="L348" s="75"/>
    </row>
    <row r="349">
      <c r="I349" s="75"/>
      <c r="J349" s="75"/>
      <c r="K349" s="75"/>
      <c r="L349" s="75"/>
    </row>
    <row r="350">
      <c r="I350" s="75"/>
      <c r="J350" s="75"/>
      <c r="K350" s="75"/>
      <c r="L350" s="75"/>
    </row>
    <row r="351">
      <c r="I351" s="75"/>
      <c r="J351" s="75"/>
      <c r="K351" s="75"/>
      <c r="L351" s="75"/>
    </row>
    <row r="352">
      <c r="I352" s="75"/>
      <c r="J352" s="75"/>
      <c r="K352" s="75"/>
      <c r="L352" s="75"/>
    </row>
    <row r="353">
      <c r="I353" s="75"/>
      <c r="J353" s="75"/>
      <c r="K353" s="75"/>
      <c r="L353" s="75"/>
    </row>
    <row r="354">
      <c r="I354" s="75"/>
      <c r="J354" s="75"/>
      <c r="K354" s="75"/>
      <c r="L354" s="75"/>
    </row>
    <row r="355">
      <c r="I355" s="75"/>
      <c r="J355" s="75"/>
      <c r="K355" s="75"/>
      <c r="L355" s="75"/>
    </row>
    <row r="356">
      <c r="I356" s="75"/>
      <c r="J356" s="75"/>
      <c r="K356" s="75"/>
      <c r="L356" s="75"/>
    </row>
    <row r="357">
      <c r="I357" s="75"/>
      <c r="J357" s="75"/>
      <c r="K357" s="75"/>
      <c r="L357" s="75"/>
    </row>
    <row r="358">
      <c r="I358" s="75"/>
      <c r="J358" s="75"/>
      <c r="K358" s="75"/>
      <c r="L358" s="75"/>
    </row>
    <row r="359">
      <c r="I359" s="75"/>
      <c r="J359" s="75"/>
      <c r="K359" s="75"/>
      <c r="L359" s="75"/>
    </row>
    <row r="360">
      <c r="I360" s="75"/>
      <c r="J360" s="75"/>
      <c r="K360" s="75"/>
      <c r="L360" s="75"/>
    </row>
    <row r="361">
      <c r="I361" s="75"/>
      <c r="J361" s="75"/>
      <c r="K361" s="75"/>
      <c r="L361" s="75"/>
    </row>
    <row r="362">
      <c r="I362" s="75"/>
      <c r="J362" s="75"/>
      <c r="K362" s="75"/>
      <c r="L362" s="75"/>
    </row>
    <row r="363">
      <c r="I363" s="75"/>
      <c r="J363" s="75"/>
      <c r="K363" s="75"/>
      <c r="L363" s="75"/>
    </row>
    <row r="364">
      <c r="I364" s="75"/>
      <c r="J364" s="75"/>
      <c r="K364" s="75"/>
      <c r="L364" s="75"/>
    </row>
    <row r="365">
      <c r="I365" s="75"/>
      <c r="J365" s="75"/>
      <c r="K365" s="75"/>
      <c r="L365" s="75"/>
    </row>
    <row r="366">
      <c r="I366" s="75"/>
      <c r="J366" s="75"/>
      <c r="K366" s="75"/>
      <c r="L366" s="75"/>
    </row>
    <row r="367">
      <c r="I367" s="75"/>
      <c r="J367" s="75"/>
      <c r="K367" s="75"/>
      <c r="L367" s="75"/>
    </row>
    <row r="368">
      <c r="I368" s="75"/>
      <c r="J368" s="75"/>
      <c r="K368" s="75"/>
      <c r="L368" s="75"/>
    </row>
    <row r="369">
      <c r="I369" s="75"/>
      <c r="J369" s="75"/>
      <c r="K369" s="75"/>
      <c r="L369" s="75"/>
    </row>
    <row r="370">
      <c r="I370" s="75"/>
      <c r="J370" s="75"/>
      <c r="K370" s="75"/>
      <c r="L370" s="75"/>
    </row>
    <row r="371">
      <c r="I371" s="75"/>
      <c r="J371" s="75"/>
      <c r="K371" s="75"/>
      <c r="L371" s="75"/>
    </row>
    <row r="372">
      <c r="I372" s="75"/>
      <c r="J372" s="75"/>
      <c r="K372" s="75"/>
      <c r="L372" s="75"/>
    </row>
    <row r="373">
      <c r="I373" s="75"/>
      <c r="J373" s="75"/>
      <c r="K373" s="75"/>
      <c r="L373" s="75"/>
    </row>
    <row r="374">
      <c r="I374" s="75"/>
      <c r="J374" s="75"/>
      <c r="K374" s="75"/>
      <c r="L374" s="75"/>
    </row>
    <row r="375">
      <c r="I375" s="75"/>
      <c r="J375" s="75"/>
      <c r="K375" s="75"/>
      <c r="L375" s="75"/>
    </row>
    <row r="376">
      <c r="I376" s="75"/>
      <c r="J376" s="75"/>
      <c r="K376" s="75"/>
      <c r="L376" s="75"/>
    </row>
    <row r="377">
      <c r="I377" s="75"/>
      <c r="J377" s="75"/>
      <c r="K377" s="75"/>
      <c r="L377" s="75"/>
    </row>
    <row r="378">
      <c r="I378" s="75"/>
      <c r="J378" s="75"/>
      <c r="K378" s="75"/>
      <c r="L378" s="75"/>
    </row>
    <row r="379">
      <c r="I379" s="75"/>
      <c r="J379" s="75"/>
      <c r="K379" s="75"/>
      <c r="L379" s="75"/>
    </row>
    <row r="380">
      <c r="I380" s="75"/>
      <c r="J380" s="75"/>
      <c r="K380" s="75"/>
      <c r="L380" s="75"/>
    </row>
    <row r="381">
      <c r="I381" s="75"/>
      <c r="J381" s="75"/>
      <c r="K381" s="75"/>
      <c r="L381" s="75"/>
    </row>
    <row r="382">
      <c r="I382" s="75"/>
      <c r="J382" s="75"/>
      <c r="K382" s="75"/>
      <c r="L382" s="75"/>
    </row>
    <row r="383">
      <c r="I383" s="75"/>
      <c r="J383" s="75"/>
      <c r="K383" s="75"/>
      <c r="L383" s="75"/>
    </row>
    <row r="384">
      <c r="I384" s="75"/>
      <c r="J384" s="75"/>
      <c r="K384" s="75"/>
      <c r="L384" s="75"/>
    </row>
    <row r="385">
      <c r="I385" s="75"/>
      <c r="J385" s="75"/>
      <c r="K385" s="75"/>
      <c r="L385" s="75"/>
    </row>
    <row r="386">
      <c r="I386" s="75"/>
      <c r="J386" s="75"/>
      <c r="K386" s="75"/>
      <c r="L386" s="75"/>
    </row>
    <row r="387">
      <c r="I387" s="75"/>
      <c r="J387" s="75"/>
      <c r="K387" s="75"/>
      <c r="L387" s="75"/>
    </row>
    <row r="388">
      <c r="I388" s="75"/>
      <c r="J388" s="75"/>
      <c r="K388" s="75"/>
      <c r="L388" s="75"/>
    </row>
    <row r="389">
      <c r="I389" s="75"/>
      <c r="J389" s="75"/>
      <c r="K389" s="75"/>
      <c r="L389" s="75"/>
    </row>
    <row r="390">
      <c r="I390" s="75"/>
      <c r="J390" s="75"/>
      <c r="K390" s="75"/>
      <c r="L390" s="75"/>
    </row>
    <row r="391">
      <c r="I391" s="75"/>
      <c r="J391" s="75"/>
      <c r="K391" s="75"/>
      <c r="L391" s="75"/>
    </row>
    <row r="392">
      <c r="I392" s="75"/>
      <c r="J392" s="75"/>
      <c r="K392" s="75"/>
      <c r="L392" s="75"/>
    </row>
    <row r="393">
      <c r="I393" s="75"/>
      <c r="J393" s="75"/>
      <c r="K393" s="75"/>
      <c r="L393" s="75"/>
    </row>
    <row r="394">
      <c r="I394" s="75"/>
      <c r="J394" s="75"/>
      <c r="K394" s="75"/>
      <c r="L394" s="75"/>
    </row>
    <row r="395">
      <c r="I395" s="75"/>
      <c r="J395" s="75"/>
      <c r="K395" s="75"/>
      <c r="L395" s="75"/>
    </row>
    <row r="396">
      <c r="I396" s="75"/>
      <c r="J396" s="75"/>
      <c r="K396" s="75"/>
      <c r="L396" s="75"/>
    </row>
    <row r="397">
      <c r="I397" s="75"/>
      <c r="J397" s="75"/>
      <c r="K397" s="75"/>
      <c r="L397" s="75"/>
    </row>
    <row r="398">
      <c r="I398" s="75"/>
      <c r="J398" s="75"/>
      <c r="K398" s="75"/>
      <c r="L398" s="75"/>
    </row>
    <row r="399">
      <c r="I399" s="75"/>
      <c r="J399" s="75"/>
      <c r="K399" s="75"/>
      <c r="L399" s="75"/>
    </row>
    <row r="400">
      <c r="I400" s="75"/>
      <c r="J400" s="75"/>
      <c r="K400" s="75"/>
      <c r="L400" s="75"/>
    </row>
    <row r="401">
      <c r="I401" s="75"/>
      <c r="J401" s="75"/>
      <c r="K401" s="75"/>
      <c r="L401" s="75"/>
    </row>
    <row r="402">
      <c r="I402" s="75"/>
      <c r="J402" s="75"/>
      <c r="K402" s="75"/>
      <c r="L402" s="75"/>
    </row>
    <row r="403">
      <c r="I403" s="75"/>
      <c r="J403" s="75"/>
      <c r="K403" s="75"/>
      <c r="L403" s="75"/>
    </row>
    <row r="404">
      <c r="I404" s="75"/>
      <c r="J404" s="75"/>
      <c r="K404" s="75"/>
      <c r="L404" s="75"/>
    </row>
    <row r="405">
      <c r="I405" s="75"/>
      <c r="J405" s="75"/>
      <c r="K405" s="75"/>
      <c r="L405" s="75"/>
    </row>
    <row r="406">
      <c r="I406" s="75"/>
      <c r="J406" s="75"/>
      <c r="K406" s="75"/>
      <c r="L406" s="75"/>
    </row>
    <row r="407">
      <c r="I407" s="75"/>
      <c r="J407" s="75"/>
      <c r="K407" s="75"/>
      <c r="L407" s="75"/>
    </row>
    <row r="408">
      <c r="I408" s="75"/>
      <c r="J408" s="75"/>
      <c r="K408" s="75"/>
      <c r="L408" s="75"/>
    </row>
    <row r="409">
      <c r="I409" s="75"/>
      <c r="J409" s="75"/>
      <c r="K409" s="75"/>
      <c r="L409" s="75"/>
    </row>
    <row r="410">
      <c r="I410" s="75"/>
      <c r="J410" s="75"/>
      <c r="K410" s="75"/>
      <c r="L410" s="75"/>
    </row>
    <row r="411">
      <c r="I411" s="75"/>
      <c r="J411" s="75"/>
      <c r="K411" s="75"/>
      <c r="L411" s="75"/>
    </row>
    <row r="412">
      <c r="I412" s="75"/>
      <c r="J412" s="75"/>
      <c r="K412" s="75"/>
      <c r="L412" s="75"/>
    </row>
    <row r="413">
      <c r="I413" s="75"/>
      <c r="J413" s="75"/>
      <c r="K413" s="75"/>
      <c r="L413" s="75"/>
    </row>
    <row r="414">
      <c r="I414" s="75"/>
      <c r="J414" s="75"/>
      <c r="K414" s="75"/>
      <c r="L414" s="75"/>
    </row>
    <row r="415">
      <c r="I415" s="75"/>
      <c r="J415" s="75"/>
      <c r="K415" s="75"/>
      <c r="L415" s="75"/>
    </row>
    <row r="416">
      <c r="I416" s="75"/>
      <c r="J416" s="75"/>
      <c r="K416" s="75"/>
      <c r="L416" s="75"/>
    </row>
    <row r="417">
      <c r="I417" s="75"/>
      <c r="J417" s="75"/>
      <c r="K417" s="75"/>
      <c r="L417" s="75"/>
    </row>
    <row r="418">
      <c r="I418" s="75"/>
      <c r="J418" s="75"/>
      <c r="K418" s="75"/>
      <c r="L418" s="75"/>
    </row>
    <row r="419">
      <c r="I419" s="75"/>
      <c r="J419" s="75"/>
      <c r="K419" s="75"/>
      <c r="L419" s="75"/>
    </row>
    <row r="420">
      <c r="I420" s="75"/>
      <c r="J420" s="75"/>
      <c r="K420" s="75"/>
      <c r="L420" s="75"/>
    </row>
    <row r="421">
      <c r="I421" s="75"/>
      <c r="J421" s="75"/>
      <c r="K421" s="75"/>
      <c r="L421" s="75"/>
    </row>
    <row r="422">
      <c r="I422" s="75"/>
      <c r="J422" s="75"/>
      <c r="K422" s="75"/>
      <c r="L422" s="75"/>
    </row>
    <row r="423">
      <c r="I423" s="75"/>
      <c r="J423" s="75"/>
      <c r="K423" s="75"/>
      <c r="L423" s="75"/>
    </row>
    <row r="424">
      <c r="I424" s="75"/>
      <c r="J424" s="75"/>
      <c r="K424" s="75"/>
      <c r="L424" s="75"/>
    </row>
    <row r="425">
      <c r="I425" s="75"/>
      <c r="J425" s="75"/>
      <c r="K425" s="75"/>
      <c r="L425" s="75"/>
    </row>
    <row r="426">
      <c r="I426" s="75"/>
      <c r="J426" s="75"/>
      <c r="K426" s="75"/>
      <c r="L426" s="75"/>
    </row>
    <row r="427">
      <c r="I427" s="75"/>
      <c r="J427" s="75"/>
      <c r="K427" s="75"/>
      <c r="L427" s="75"/>
    </row>
    <row r="428">
      <c r="I428" s="75"/>
      <c r="J428" s="75"/>
      <c r="K428" s="75"/>
      <c r="L428" s="75"/>
    </row>
    <row r="429">
      <c r="I429" s="75"/>
      <c r="J429" s="75"/>
      <c r="K429" s="75"/>
      <c r="L429" s="75"/>
    </row>
    <row r="430">
      <c r="I430" s="75"/>
      <c r="J430" s="75"/>
      <c r="K430" s="75"/>
      <c r="L430" s="75"/>
    </row>
    <row r="431">
      <c r="I431" s="75"/>
      <c r="J431" s="75"/>
      <c r="K431" s="75"/>
      <c r="L431" s="75"/>
    </row>
    <row r="432">
      <c r="I432" s="75"/>
      <c r="J432" s="75"/>
      <c r="K432" s="75"/>
      <c r="L432" s="75"/>
    </row>
    <row r="433">
      <c r="I433" s="75"/>
      <c r="J433" s="75"/>
      <c r="K433" s="75"/>
      <c r="L433" s="75"/>
    </row>
    <row r="434">
      <c r="I434" s="75"/>
      <c r="J434" s="75"/>
      <c r="K434" s="75"/>
      <c r="L434" s="75"/>
    </row>
    <row r="435">
      <c r="I435" s="75"/>
      <c r="J435" s="75"/>
      <c r="K435" s="75"/>
      <c r="L435" s="75"/>
    </row>
    <row r="436">
      <c r="I436" s="75"/>
      <c r="J436" s="75"/>
      <c r="K436" s="75"/>
      <c r="L436" s="75"/>
    </row>
    <row r="437">
      <c r="I437" s="75"/>
      <c r="J437" s="75"/>
      <c r="K437" s="75"/>
      <c r="L437" s="75"/>
    </row>
    <row r="438">
      <c r="I438" s="75"/>
      <c r="J438" s="75"/>
      <c r="K438" s="75"/>
      <c r="L438" s="75"/>
    </row>
    <row r="439">
      <c r="I439" s="75"/>
      <c r="J439" s="75"/>
      <c r="K439" s="75"/>
      <c r="L439" s="75"/>
    </row>
    <row r="440">
      <c r="I440" s="75"/>
      <c r="J440" s="75"/>
      <c r="K440" s="75"/>
      <c r="L440" s="75"/>
    </row>
    <row r="441">
      <c r="I441" s="75"/>
      <c r="J441" s="75"/>
      <c r="K441" s="75"/>
      <c r="L441" s="75"/>
    </row>
    <row r="442">
      <c r="I442" s="75"/>
      <c r="J442" s="75"/>
      <c r="K442" s="75"/>
      <c r="L442" s="75"/>
    </row>
    <row r="443">
      <c r="I443" s="75"/>
      <c r="J443" s="75"/>
      <c r="K443" s="75"/>
      <c r="L443" s="75"/>
    </row>
    <row r="444">
      <c r="I444" s="75"/>
      <c r="J444" s="75"/>
      <c r="K444" s="75"/>
      <c r="L444" s="75"/>
    </row>
    <row r="445">
      <c r="I445" s="75"/>
      <c r="J445" s="75"/>
      <c r="K445" s="75"/>
      <c r="L445" s="75"/>
    </row>
    <row r="446">
      <c r="I446" s="75"/>
      <c r="J446" s="75"/>
      <c r="K446" s="75"/>
      <c r="L446" s="75"/>
    </row>
    <row r="447">
      <c r="I447" s="75"/>
      <c r="J447" s="75"/>
      <c r="K447" s="75"/>
      <c r="L447" s="75"/>
    </row>
    <row r="448">
      <c r="I448" s="75"/>
      <c r="J448" s="75"/>
      <c r="K448" s="75"/>
      <c r="L448" s="75"/>
    </row>
    <row r="449">
      <c r="I449" s="75"/>
      <c r="J449" s="75"/>
      <c r="K449" s="75"/>
      <c r="L449" s="75"/>
    </row>
    <row r="450">
      <c r="I450" s="75"/>
      <c r="J450" s="75"/>
      <c r="K450" s="75"/>
      <c r="L450" s="75"/>
    </row>
    <row r="451">
      <c r="I451" s="75"/>
      <c r="J451" s="75"/>
      <c r="K451" s="75"/>
      <c r="L451" s="75"/>
    </row>
    <row r="452">
      <c r="I452" s="75"/>
      <c r="J452" s="75"/>
      <c r="K452" s="75"/>
      <c r="L452" s="75"/>
    </row>
    <row r="453">
      <c r="I453" s="75"/>
      <c r="J453" s="75"/>
      <c r="K453" s="75"/>
      <c r="L453" s="75"/>
    </row>
    <row r="454">
      <c r="I454" s="75"/>
      <c r="J454" s="75"/>
      <c r="K454" s="75"/>
      <c r="L454" s="75"/>
    </row>
    <row r="455">
      <c r="I455" s="75"/>
      <c r="J455" s="75"/>
      <c r="K455" s="75"/>
      <c r="L455" s="75"/>
    </row>
    <row r="456">
      <c r="I456" s="75"/>
      <c r="J456" s="75"/>
      <c r="K456" s="75"/>
      <c r="L456" s="75"/>
    </row>
    <row r="457">
      <c r="I457" s="75"/>
      <c r="J457" s="75"/>
      <c r="K457" s="75"/>
      <c r="L457" s="75"/>
    </row>
    <row r="458">
      <c r="I458" s="75"/>
      <c r="J458" s="75"/>
      <c r="K458" s="75"/>
      <c r="L458" s="75"/>
    </row>
    <row r="459">
      <c r="I459" s="75"/>
      <c r="J459" s="75"/>
      <c r="K459" s="75"/>
      <c r="L459" s="75"/>
    </row>
    <row r="460">
      <c r="I460" s="75"/>
      <c r="J460" s="75"/>
      <c r="K460" s="75"/>
      <c r="L460" s="75"/>
    </row>
    <row r="461">
      <c r="I461" s="75"/>
      <c r="J461" s="75"/>
      <c r="K461" s="75"/>
      <c r="L461" s="75"/>
    </row>
    <row r="462">
      <c r="I462" s="75"/>
      <c r="J462" s="75"/>
      <c r="K462" s="75"/>
      <c r="L462" s="75"/>
    </row>
    <row r="463">
      <c r="I463" s="75"/>
      <c r="J463" s="75"/>
      <c r="K463" s="75"/>
      <c r="L463" s="75"/>
    </row>
    <row r="464">
      <c r="I464" s="75"/>
      <c r="J464" s="75"/>
      <c r="K464" s="75"/>
      <c r="L464" s="75"/>
    </row>
    <row r="465">
      <c r="I465" s="75"/>
      <c r="J465" s="75"/>
      <c r="K465" s="75"/>
      <c r="L465" s="75"/>
    </row>
    <row r="466">
      <c r="I466" s="75"/>
      <c r="J466" s="75"/>
      <c r="K466" s="75"/>
      <c r="L466" s="75"/>
    </row>
    <row r="467">
      <c r="I467" s="75"/>
      <c r="J467" s="75"/>
      <c r="K467" s="75"/>
      <c r="L467" s="75"/>
    </row>
    <row r="468">
      <c r="I468" s="75"/>
      <c r="J468" s="75"/>
      <c r="K468" s="75"/>
      <c r="L468" s="75"/>
    </row>
    <row r="469">
      <c r="I469" s="75"/>
      <c r="J469" s="75"/>
      <c r="K469" s="75"/>
      <c r="L469" s="75"/>
    </row>
    <row r="470">
      <c r="I470" s="75"/>
      <c r="J470" s="75"/>
      <c r="K470" s="75"/>
      <c r="L470" s="75"/>
    </row>
    <row r="471">
      <c r="I471" s="75"/>
      <c r="J471" s="75"/>
      <c r="K471" s="75"/>
      <c r="L471" s="75"/>
    </row>
    <row r="472">
      <c r="I472" s="75"/>
      <c r="J472" s="75"/>
      <c r="K472" s="75"/>
      <c r="L472" s="75"/>
    </row>
    <row r="473">
      <c r="I473" s="75"/>
      <c r="J473" s="75"/>
      <c r="K473" s="75"/>
      <c r="L473" s="75"/>
    </row>
    <row r="474">
      <c r="I474" s="75"/>
      <c r="J474" s="75"/>
      <c r="K474" s="75"/>
      <c r="L474" s="75"/>
    </row>
    <row r="475">
      <c r="I475" s="75"/>
      <c r="J475" s="75"/>
      <c r="K475" s="75"/>
      <c r="L475" s="75"/>
    </row>
    <row r="476">
      <c r="I476" s="75"/>
      <c r="J476" s="75"/>
      <c r="K476" s="75"/>
      <c r="L476" s="75"/>
    </row>
    <row r="477">
      <c r="I477" s="75"/>
      <c r="J477" s="75"/>
      <c r="K477" s="75"/>
      <c r="L477" s="75"/>
    </row>
    <row r="478">
      <c r="I478" s="75"/>
      <c r="J478" s="75"/>
      <c r="K478" s="75"/>
      <c r="L478" s="75"/>
    </row>
    <row r="479">
      <c r="I479" s="75"/>
      <c r="J479" s="75"/>
      <c r="K479" s="75"/>
      <c r="L479" s="75"/>
    </row>
    <row r="480">
      <c r="I480" s="75"/>
      <c r="J480" s="75"/>
      <c r="K480" s="75"/>
      <c r="L480" s="75"/>
    </row>
    <row r="481">
      <c r="I481" s="75"/>
      <c r="J481" s="75"/>
      <c r="K481" s="75"/>
      <c r="L481" s="75"/>
    </row>
    <row r="482">
      <c r="I482" s="75"/>
      <c r="J482" s="75"/>
      <c r="K482" s="75"/>
      <c r="L482" s="75"/>
    </row>
    <row r="483">
      <c r="I483" s="75"/>
      <c r="J483" s="75"/>
      <c r="K483" s="75"/>
      <c r="L483" s="75"/>
    </row>
    <row r="484">
      <c r="I484" s="75"/>
      <c r="J484" s="75"/>
      <c r="K484" s="75"/>
      <c r="L484" s="75"/>
    </row>
    <row r="485">
      <c r="I485" s="75"/>
      <c r="J485" s="75"/>
      <c r="K485" s="75"/>
      <c r="L485" s="75"/>
    </row>
    <row r="486">
      <c r="I486" s="75"/>
      <c r="J486" s="75"/>
      <c r="K486" s="75"/>
      <c r="L486" s="75"/>
    </row>
    <row r="487">
      <c r="I487" s="75"/>
      <c r="J487" s="75"/>
      <c r="K487" s="75"/>
      <c r="L487" s="75"/>
    </row>
    <row r="488">
      <c r="I488" s="75"/>
      <c r="J488" s="75"/>
      <c r="K488" s="75"/>
      <c r="L488" s="75"/>
    </row>
    <row r="489">
      <c r="I489" s="75"/>
      <c r="J489" s="75"/>
      <c r="K489" s="75"/>
      <c r="L489" s="75"/>
    </row>
    <row r="490">
      <c r="I490" s="75"/>
      <c r="J490" s="75"/>
      <c r="K490" s="75"/>
      <c r="L490" s="75"/>
    </row>
    <row r="491">
      <c r="I491" s="75"/>
      <c r="J491" s="75"/>
      <c r="K491" s="75"/>
      <c r="L491" s="75"/>
    </row>
    <row r="492">
      <c r="I492" s="75"/>
      <c r="J492" s="75"/>
      <c r="K492" s="75"/>
      <c r="L492" s="75"/>
    </row>
    <row r="493">
      <c r="I493" s="75"/>
      <c r="J493" s="75"/>
      <c r="K493" s="75"/>
      <c r="L493" s="75"/>
    </row>
    <row r="494">
      <c r="I494" s="75"/>
      <c r="J494" s="75"/>
      <c r="K494" s="75"/>
      <c r="L494" s="75"/>
    </row>
    <row r="495">
      <c r="I495" s="75"/>
      <c r="J495" s="75"/>
      <c r="K495" s="75"/>
      <c r="L495" s="75"/>
    </row>
    <row r="496">
      <c r="I496" s="75"/>
      <c r="J496" s="75"/>
      <c r="K496" s="75"/>
      <c r="L496" s="75"/>
    </row>
    <row r="497">
      <c r="I497" s="75"/>
      <c r="J497" s="75"/>
      <c r="K497" s="75"/>
      <c r="L497" s="75"/>
    </row>
    <row r="498">
      <c r="I498" s="75"/>
      <c r="J498" s="75"/>
      <c r="K498" s="75"/>
      <c r="L498" s="75"/>
    </row>
    <row r="499">
      <c r="I499" s="75"/>
      <c r="J499" s="75"/>
      <c r="K499" s="75"/>
      <c r="L499" s="75"/>
    </row>
    <row r="500">
      <c r="I500" s="75"/>
      <c r="J500" s="75"/>
      <c r="K500" s="75"/>
      <c r="L500" s="75"/>
    </row>
    <row r="501">
      <c r="I501" s="75"/>
      <c r="J501" s="75"/>
      <c r="K501" s="75"/>
      <c r="L501" s="75"/>
    </row>
    <row r="502">
      <c r="I502" s="75"/>
      <c r="J502" s="75"/>
      <c r="K502" s="75"/>
      <c r="L502" s="75"/>
    </row>
    <row r="503">
      <c r="I503" s="75"/>
      <c r="J503" s="75"/>
      <c r="K503" s="75"/>
      <c r="L503" s="75"/>
    </row>
    <row r="504">
      <c r="I504" s="75"/>
      <c r="J504" s="75"/>
      <c r="K504" s="75"/>
      <c r="L504" s="75"/>
    </row>
    <row r="505">
      <c r="I505" s="75"/>
      <c r="J505" s="75"/>
      <c r="K505" s="75"/>
      <c r="L505" s="75"/>
    </row>
    <row r="506">
      <c r="I506" s="75"/>
      <c r="J506" s="75"/>
      <c r="K506" s="75"/>
      <c r="L506" s="75"/>
    </row>
    <row r="507">
      <c r="I507" s="75"/>
      <c r="J507" s="75"/>
      <c r="K507" s="75"/>
      <c r="L507" s="75"/>
    </row>
    <row r="508">
      <c r="I508" s="75"/>
      <c r="J508" s="75"/>
      <c r="K508" s="75"/>
      <c r="L508" s="75"/>
    </row>
    <row r="509">
      <c r="I509" s="75"/>
      <c r="J509" s="75"/>
      <c r="K509" s="75"/>
      <c r="L509" s="75"/>
    </row>
    <row r="510">
      <c r="I510" s="75"/>
      <c r="J510" s="75"/>
      <c r="K510" s="75"/>
      <c r="L510" s="75"/>
    </row>
    <row r="511">
      <c r="I511" s="75"/>
      <c r="J511" s="75"/>
      <c r="K511" s="75"/>
      <c r="L511" s="75"/>
    </row>
    <row r="512">
      <c r="I512" s="75"/>
      <c r="J512" s="75"/>
      <c r="K512" s="75"/>
      <c r="L512" s="75"/>
    </row>
    <row r="513">
      <c r="I513" s="75"/>
      <c r="J513" s="75"/>
      <c r="K513" s="75"/>
      <c r="L513" s="75"/>
    </row>
    <row r="514">
      <c r="I514" s="75"/>
      <c r="J514" s="75"/>
      <c r="K514" s="75"/>
      <c r="L514" s="75"/>
    </row>
    <row r="515">
      <c r="I515" s="75"/>
      <c r="J515" s="75"/>
      <c r="K515" s="75"/>
      <c r="L515" s="75"/>
    </row>
    <row r="516">
      <c r="I516" s="75"/>
      <c r="J516" s="75"/>
      <c r="K516" s="75"/>
      <c r="L516" s="75"/>
    </row>
    <row r="517">
      <c r="I517" s="75"/>
      <c r="J517" s="75"/>
      <c r="K517" s="75"/>
      <c r="L517" s="75"/>
    </row>
    <row r="518">
      <c r="I518" s="75"/>
      <c r="J518" s="75"/>
      <c r="K518" s="75"/>
      <c r="L518" s="75"/>
    </row>
    <row r="519">
      <c r="I519" s="75"/>
      <c r="J519" s="75"/>
      <c r="K519" s="75"/>
      <c r="L519" s="75"/>
    </row>
    <row r="520">
      <c r="I520" s="75"/>
      <c r="J520" s="75"/>
      <c r="K520" s="75"/>
      <c r="L520" s="75"/>
    </row>
    <row r="521">
      <c r="I521" s="75"/>
      <c r="J521" s="75"/>
      <c r="K521" s="75"/>
      <c r="L521" s="75"/>
    </row>
    <row r="522">
      <c r="I522" s="75"/>
      <c r="J522" s="75"/>
      <c r="K522" s="75"/>
      <c r="L522" s="75"/>
    </row>
    <row r="523">
      <c r="I523" s="75"/>
      <c r="J523" s="75"/>
      <c r="K523" s="75"/>
      <c r="L523" s="75"/>
    </row>
    <row r="524">
      <c r="I524" s="75"/>
      <c r="J524" s="75"/>
      <c r="K524" s="75"/>
      <c r="L524" s="75"/>
    </row>
    <row r="525">
      <c r="I525" s="75"/>
      <c r="J525" s="75"/>
      <c r="K525" s="75"/>
      <c r="L525" s="75"/>
    </row>
    <row r="526">
      <c r="I526" s="75"/>
      <c r="J526" s="75"/>
      <c r="K526" s="75"/>
      <c r="L526" s="75"/>
    </row>
    <row r="527">
      <c r="I527" s="75"/>
      <c r="J527" s="75"/>
      <c r="K527" s="75"/>
      <c r="L527" s="75"/>
    </row>
    <row r="528">
      <c r="I528" s="75"/>
      <c r="J528" s="75"/>
      <c r="K528" s="75"/>
      <c r="L528" s="75"/>
    </row>
    <row r="529">
      <c r="I529" s="75"/>
      <c r="J529" s="75"/>
      <c r="K529" s="75"/>
      <c r="L529" s="75"/>
    </row>
    <row r="530">
      <c r="I530" s="75"/>
      <c r="J530" s="75"/>
      <c r="K530" s="75"/>
      <c r="L530" s="75"/>
    </row>
    <row r="531">
      <c r="I531" s="75"/>
      <c r="J531" s="75"/>
      <c r="K531" s="75"/>
      <c r="L531" s="75"/>
    </row>
    <row r="532">
      <c r="I532" s="75"/>
      <c r="J532" s="75"/>
      <c r="K532" s="75"/>
      <c r="L532" s="75"/>
    </row>
    <row r="533">
      <c r="I533" s="75"/>
      <c r="J533" s="75"/>
      <c r="K533" s="75"/>
      <c r="L533" s="75"/>
    </row>
    <row r="534">
      <c r="I534" s="75"/>
      <c r="J534" s="75"/>
      <c r="K534" s="75"/>
      <c r="L534" s="75"/>
    </row>
    <row r="535">
      <c r="I535" s="75"/>
      <c r="J535" s="75"/>
      <c r="K535" s="75"/>
      <c r="L535" s="75"/>
    </row>
    <row r="536">
      <c r="I536" s="75"/>
      <c r="J536" s="75"/>
      <c r="K536" s="75"/>
      <c r="L536" s="75"/>
    </row>
    <row r="537">
      <c r="I537" s="75"/>
      <c r="J537" s="75"/>
      <c r="K537" s="75"/>
      <c r="L537" s="75"/>
    </row>
    <row r="538">
      <c r="I538" s="75"/>
      <c r="J538" s="75"/>
      <c r="K538" s="75"/>
      <c r="L538" s="75"/>
    </row>
    <row r="539">
      <c r="I539" s="75"/>
      <c r="J539" s="75"/>
      <c r="K539" s="75"/>
      <c r="L539" s="75"/>
    </row>
    <row r="540">
      <c r="I540" s="75"/>
      <c r="J540" s="75"/>
      <c r="K540" s="75"/>
      <c r="L540" s="75"/>
    </row>
    <row r="541">
      <c r="I541" s="75"/>
      <c r="J541" s="75"/>
      <c r="K541" s="75"/>
      <c r="L541" s="75"/>
    </row>
    <row r="542">
      <c r="I542" s="75"/>
      <c r="J542" s="75"/>
      <c r="K542" s="75"/>
      <c r="L542" s="75"/>
    </row>
    <row r="543">
      <c r="I543" s="75"/>
      <c r="J543" s="75"/>
      <c r="K543" s="75"/>
      <c r="L543" s="75"/>
    </row>
    <row r="544">
      <c r="I544" s="75"/>
      <c r="J544" s="75"/>
      <c r="K544" s="75"/>
      <c r="L544" s="75"/>
    </row>
    <row r="545">
      <c r="I545" s="75"/>
      <c r="J545" s="75"/>
      <c r="K545" s="75"/>
      <c r="L545" s="75"/>
    </row>
    <row r="546">
      <c r="I546" s="75"/>
      <c r="J546" s="75"/>
      <c r="K546" s="75"/>
      <c r="L546" s="75"/>
    </row>
    <row r="547">
      <c r="I547" s="75"/>
      <c r="J547" s="75"/>
      <c r="K547" s="75"/>
      <c r="L547" s="75"/>
    </row>
    <row r="548">
      <c r="I548" s="75"/>
      <c r="J548" s="75"/>
      <c r="K548" s="75"/>
      <c r="L548" s="75"/>
    </row>
    <row r="549">
      <c r="I549" s="75"/>
      <c r="J549" s="75"/>
      <c r="K549" s="75"/>
      <c r="L549" s="75"/>
    </row>
    <row r="550">
      <c r="I550" s="75"/>
      <c r="J550" s="75"/>
      <c r="K550" s="75"/>
      <c r="L550" s="75"/>
    </row>
    <row r="551">
      <c r="I551" s="75"/>
      <c r="J551" s="75"/>
      <c r="K551" s="75"/>
      <c r="L551" s="75"/>
    </row>
    <row r="552">
      <c r="I552" s="75"/>
      <c r="J552" s="75"/>
      <c r="K552" s="75"/>
      <c r="L552" s="75"/>
    </row>
    <row r="553">
      <c r="I553" s="75"/>
      <c r="J553" s="75"/>
      <c r="K553" s="75"/>
      <c r="L553" s="75"/>
    </row>
    <row r="554">
      <c r="I554" s="75"/>
      <c r="J554" s="75"/>
      <c r="K554" s="75"/>
      <c r="L554" s="75"/>
    </row>
    <row r="555">
      <c r="I555" s="75"/>
      <c r="J555" s="75"/>
      <c r="K555" s="75"/>
      <c r="L555" s="75"/>
    </row>
    <row r="556">
      <c r="I556" s="75"/>
      <c r="J556" s="75"/>
      <c r="K556" s="75"/>
      <c r="L556" s="75"/>
    </row>
    <row r="557">
      <c r="I557" s="75"/>
      <c r="J557" s="75"/>
      <c r="K557" s="75"/>
      <c r="L557" s="75"/>
    </row>
    <row r="558">
      <c r="I558" s="75"/>
      <c r="J558" s="75"/>
      <c r="K558" s="75"/>
      <c r="L558" s="75"/>
    </row>
    <row r="559">
      <c r="I559" s="75"/>
      <c r="J559" s="75"/>
      <c r="K559" s="75"/>
      <c r="L559" s="75"/>
    </row>
    <row r="560">
      <c r="I560" s="75"/>
      <c r="J560" s="75"/>
      <c r="K560" s="75"/>
      <c r="L560" s="75"/>
    </row>
    <row r="561">
      <c r="I561" s="75"/>
      <c r="J561" s="75"/>
      <c r="K561" s="75"/>
      <c r="L561" s="75"/>
    </row>
    <row r="562">
      <c r="I562" s="75"/>
      <c r="J562" s="75"/>
      <c r="K562" s="75"/>
      <c r="L562" s="75"/>
    </row>
    <row r="563">
      <c r="I563" s="75"/>
      <c r="J563" s="75"/>
      <c r="K563" s="75"/>
      <c r="L563" s="75"/>
    </row>
    <row r="564">
      <c r="I564" s="75"/>
      <c r="J564" s="75"/>
      <c r="K564" s="75"/>
      <c r="L564" s="75"/>
    </row>
    <row r="565">
      <c r="I565" s="75"/>
      <c r="J565" s="75"/>
      <c r="K565" s="75"/>
      <c r="L565" s="75"/>
    </row>
    <row r="566">
      <c r="I566" s="75"/>
      <c r="J566" s="75"/>
      <c r="K566" s="75"/>
      <c r="L566" s="75"/>
    </row>
    <row r="567">
      <c r="I567" s="75"/>
      <c r="J567" s="75"/>
      <c r="K567" s="75"/>
      <c r="L567" s="75"/>
    </row>
    <row r="568">
      <c r="I568" s="75"/>
      <c r="J568" s="75"/>
      <c r="K568" s="75"/>
      <c r="L568" s="75"/>
    </row>
    <row r="569">
      <c r="I569" s="75"/>
      <c r="J569" s="75"/>
      <c r="K569" s="75"/>
      <c r="L569" s="75"/>
    </row>
    <row r="570">
      <c r="I570" s="75"/>
      <c r="J570" s="75"/>
      <c r="K570" s="75"/>
      <c r="L570" s="75"/>
    </row>
    <row r="571">
      <c r="I571" s="75"/>
      <c r="J571" s="75"/>
      <c r="K571" s="75"/>
      <c r="L571" s="75"/>
    </row>
    <row r="572">
      <c r="I572" s="75"/>
      <c r="J572" s="75"/>
      <c r="K572" s="75"/>
      <c r="L572" s="75"/>
    </row>
    <row r="573">
      <c r="I573" s="75"/>
      <c r="J573" s="75"/>
      <c r="K573" s="75"/>
      <c r="L573" s="75"/>
    </row>
    <row r="574">
      <c r="I574" s="75"/>
      <c r="J574" s="75"/>
      <c r="K574" s="75"/>
      <c r="L574" s="75"/>
    </row>
    <row r="575">
      <c r="I575" s="75"/>
      <c r="J575" s="75"/>
      <c r="K575" s="75"/>
      <c r="L575" s="75"/>
    </row>
    <row r="576">
      <c r="I576" s="75"/>
      <c r="J576" s="75"/>
      <c r="K576" s="75"/>
      <c r="L576" s="75"/>
    </row>
    <row r="577">
      <c r="I577" s="75"/>
      <c r="J577" s="75"/>
      <c r="K577" s="75"/>
      <c r="L577" s="75"/>
    </row>
    <row r="578">
      <c r="I578" s="75"/>
      <c r="J578" s="75"/>
      <c r="K578" s="75"/>
      <c r="L578" s="75"/>
    </row>
    <row r="579">
      <c r="I579" s="75"/>
      <c r="J579" s="75"/>
      <c r="K579" s="75"/>
      <c r="L579" s="75"/>
    </row>
    <row r="580">
      <c r="I580" s="75"/>
      <c r="J580" s="75"/>
      <c r="K580" s="75"/>
      <c r="L580" s="75"/>
    </row>
    <row r="581">
      <c r="I581" s="75"/>
      <c r="J581" s="75"/>
      <c r="K581" s="75"/>
      <c r="L581" s="75"/>
    </row>
    <row r="582">
      <c r="I582" s="75"/>
      <c r="J582" s="75"/>
      <c r="K582" s="75"/>
      <c r="L582" s="75"/>
    </row>
    <row r="583">
      <c r="I583" s="75"/>
      <c r="J583" s="75"/>
      <c r="K583" s="75"/>
      <c r="L583" s="75"/>
    </row>
    <row r="584">
      <c r="I584" s="75"/>
      <c r="J584" s="75"/>
      <c r="K584" s="75"/>
      <c r="L584" s="75"/>
    </row>
    <row r="585">
      <c r="I585" s="75"/>
      <c r="J585" s="75"/>
      <c r="K585" s="75"/>
      <c r="L585" s="75"/>
    </row>
    <row r="586">
      <c r="I586" s="75"/>
      <c r="J586" s="75"/>
      <c r="K586" s="75"/>
      <c r="L586" s="75"/>
    </row>
    <row r="587">
      <c r="I587" s="75"/>
      <c r="J587" s="75"/>
      <c r="K587" s="75"/>
      <c r="L587" s="75"/>
    </row>
    <row r="588">
      <c r="I588" s="75"/>
      <c r="J588" s="75"/>
      <c r="K588" s="75"/>
      <c r="L588" s="75"/>
    </row>
    <row r="589">
      <c r="I589" s="75"/>
      <c r="J589" s="75"/>
      <c r="K589" s="75"/>
      <c r="L589" s="75"/>
    </row>
    <row r="590">
      <c r="I590" s="75"/>
      <c r="J590" s="75"/>
      <c r="K590" s="75"/>
      <c r="L590" s="75"/>
    </row>
    <row r="591">
      <c r="I591" s="75"/>
      <c r="J591" s="75"/>
      <c r="K591" s="75"/>
      <c r="L591" s="75"/>
    </row>
    <row r="592">
      <c r="I592" s="75"/>
      <c r="J592" s="75"/>
      <c r="K592" s="75"/>
      <c r="L592" s="75"/>
    </row>
    <row r="593">
      <c r="I593" s="75"/>
      <c r="J593" s="75"/>
      <c r="K593" s="75"/>
      <c r="L593" s="75"/>
    </row>
    <row r="594">
      <c r="I594" s="75"/>
      <c r="J594" s="75"/>
      <c r="K594" s="75"/>
      <c r="L594" s="75"/>
    </row>
    <row r="595">
      <c r="I595" s="75"/>
      <c r="J595" s="75"/>
      <c r="K595" s="75"/>
      <c r="L595" s="75"/>
    </row>
    <row r="596">
      <c r="I596" s="75"/>
      <c r="J596" s="75"/>
      <c r="K596" s="75"/>
      <c r="L596" s="75"/>
    </row>
    <row r="597">
      <c r="I597" s="75"/>
      <c r="J597" s="75"/>
      <c r="K597" s="75"/>
      <c r="L597" s="75"/>
    </row>
    <row r="598">
      <c r="I598" s="75"/>
      <c r="J598" s="75"/>
      <c r="K598" s="75"/>
      <c r="L598" s="75"/>
    </row>
    <row r="599">
      <c r="I599" s="75"/>
      <c r="J599" s="75"/>
      <c r="K599" s="75"/>
      <c r="L599" s="75"/>
    </row>
    <row r="600">
      <c r="I600" s="75"/>
      <c r="J600" s="75"/>
      <c r="K600" s="75"/>
      <c r="L600" s="75"/>
    </row>
    <row r="601">
      <c r="I601" s="75"/>
      <c r="J601" s="75"/>
      <c r="K601" s="75"/>
      <c r="L601" s="75"/>
    </row>
    <row r="602">
      <c r="I602" s="75"/>
      <c r="J602" s="75"/>
      <c r="K602" s="75"/>
      <c r="L602" s="75"/>
    </row>
    <row r="603">
      <c r="I603" s="75"/>
      <c r="J603" s="75"/>
      <c r="K603" s="75"/>
      <c r="L603" s="75"/>
    </row>
    <row r="604">
      <c r="I604" s="75"/>
      <c r="J604" s="75"/>
      <c r="K604" s="75"/>
      <c r="L604" s="75"/>
    </row>
    <row r="605">
      <c r="I605" s="75"/>
      <c r="J605" s="75"/>
      <c r="K605" s="75"/>
      <c r="L605" s="75"/>
    </row>
    <row r="606">
      <c r="I606" s="75"/>
      <c r="J606" s="75"/>
      <c r="K606" s="75"/>
      <c r="L606" s="75"/>
    </row>
    <row r="607">
      <c r="I607" s="75"/>
      <c r="J607" s="75"/>
      <c r="K607" s="75"/>
      <c r="L607" s="75"/>
    </row>
    <row r="608">
      <c r="I608" s="75"/>
      <c r="J608" s="75"/>
      <c r="K608" s="75"/>
      <c r="L608" s="75"/>
    </row>
    <row r="609">
      <c r="I609" s="75"/>
      <c r="J609" s="75"/>
      <c r="K609" s="75"/>
      <c r="L609" s="75"/>
    </row>
    <row r="610">
      <c r="I610" s="75"/>
      <c r="J610" s="75"/>
      <c r="K610" s="75"/>
      <c r="L610" s="75"/>
    </row>
    <row r="611">
      <c r="I611" s="75"/>
      <c r="J611" s="75"/>
      <c r="K611" s="75"/>
      <c r="L611" s="75"/>
    </row>
    <row r="612">
      <c r="I612" s="75"/>
      <c r="J612" s="75"/>
      <c r="K612" s="75"/>
      <c r="L612" s="75"/>
    </row>
    <row r="613">
      <c r="I613" s="75"/>
      <c r="J613" s="75"/>
      <c r="K613" s="75"/>
      <c r="L613" s="75"/>
    </row>
    <row r="614">
      <c r="I614" s="75"/>
      <c r="J614" s="75"/>
      <c r="K614" s="75"/>
      <c r="L614" s="75"/>
    </row>
    <row r="615">
      <c r="I615" s="75"/>
      <c r="J615" s="75"/>
      <c r="K615" s="75"/>
      <c r="L615" s="75"/>
    </row>
    <row r="616">
      <c r="I616" s="75"/>
      <c r="J616" s="75"/>
      <c r="K616" s="75"/>
      <c r="L616" s="75"/>
    </row>
    <row r="617">
      <c r="I617" s="75"/>
      <c r="J617" s="75"/>
      <c r="K617" s="75"/>
      <c r="L617" s="75"/>
    </row>
    <row r="618">
      <c r="I618" s="75"/>
      <c r="J618" s="75"/>
      <c r="K618" s="75"/>
      <c r="L618" s="75"/>
    </row>
    <row r="619">
      <c r="I619" s="75"/>
      <c r="J619" s="75"/>
      <c r="K619" s="75"/>
      <c r="L619" s="75"/>
    </row>
    <row r="620">
      <c r="I620" s="75"/>
      <c r="J620" s="75"/>
      <c r="K620" s="75"/>
      <c r="L620" s="75"/>
    </row>
    <row r="621">
      <c r="I621" s="75"/>
      <c r="J621" s="75"/>
      <c r="K621" s="75"/>
      <c r="L621" s="75"/>
    </row>
    <row r="622">
      <c r="I622" s="75"/>
      <c r="J622" s="75"/>
      <c r="K622" s="75"/>
      <c r="L622" s="75"/>
    </row>
    <row r="623">
      <c r="I623" s="75"/>
      <c r="J623" s="75"/>
      <c r="K623" s="75"/>
      <c r="L623" s="75"/>
    </row>
    <row r="624">
      <c r="I624" s="75"/>
      <c r="J624" s="75"/>
      <c r="K624" s="75"/>
      <c r="L624" s="75"/>
    </row>
    <row r="625">
      <c r="I625" s="75"/>
      <c r="J625" s="75"/>
      <c r="K625" s="75"/>
      <c r="L625" s="75"/>
    </row>
    <row r="626">
      <c r="I626" s="75"/>
      <c r="J626" s="75"/>
      <c r="K626" s="75"/>
      <c r="L626" s="75"/>
    </row>
    <row r="627">
      <c r="I627" s="75"/>
      <c r="J627" s="75"/>
      <c r="K627" s="75"/>
      <c r="L627" s="75"/>
    </row>
    <row r="628">
      <c r="I628" s="75"/>
      <c r="J628" s="75"/>
      <c r="K628" s="75"/>
      <c r="L628" s="75"/>
    </row>
    <row r="629">
      <c r="I629" s="75"/>
      <c r="J629" s="75"/>
      <c r="K629" s="75"/>
      <c r="L629" s="75"/>
    </row>
    <row r="630">
      <c r="I630" s="75"/>
      <c r="J630" s="75"/>
      <c r="K630" s="75"/>
      <c r="L630" s="75"/>
    </row>
    <row r="631">
      <c r="I631" s="75"/>
      <c r="J631" s="75"/>
      <c r="K631" s="75"/>
      <c r="L631" s="75"/>
    </row>
    <row r="632">
      <c r="I632" s="75"/>
      <c r="J632" s="75"/>
      <c r="K632" s="75"/>
      <c r="L632" s="75"/>
    </row>
    <row r="633">
      <c r="I633" s="75"/>
      <c r="J633" s="75"/>
      <c r="K633" s="75"/>
      <c r="L633" s="75"/>
    </row>
    <row r="634">
      <c r="I634" s="75"/>
      <c r="J634" s="75"/>
      <c r="K634" s="75"/>
      <c r="L634" s="75"/>
    </row>
    <row r="635">
      <c r="I635" s="75"/>
      <c r="J635" s="75"/>
      <c r="K635" s="75"/>
      <c r="L635" s="75"/>
    </row>
    <row r="636">
      <c r="I636" s="75"/>
      <c r="J636" s="75"/>
      <c r="K636" s="75"/>
      <c r="L636" s="75"/>
    </row>
    <row r="637">
      <c r="I637" s="75"/>
      <c r="J637" s="75"/>
      <c r="K637" s="75"/>
      <c r="L637" s="75"/>
    </row>
    <row r="638">
      <c r="I638" s="75"/>
      <c r="J638" s="75"/>
      <c r="K638" s="75"/>
      <c r="L638" s="75"/>
    </row>
    <row r="639">
      <c r="I639" s="75"/>
      <c r="J639" s="75"/>
      <c r="K639" s="75"/>
      <c r="L639" s="75"/>
    </row>
    <row r="640">
      <c r="I640" s="75"/>
      <c r="J640" s="75"/>
      <c r="K640" s="75"/>
      <c r="L640" s="75"/>
    </row>
    <row r="641">
      <c r="I641" s="75"/>
      <c r="J641" s="75"/>
      <c r="K641" s="75"/>
      <c r="L641" s="75"/>
    </row>
    <row r="642">
      <c r="I642" s="75"/>
      <c r="J642" s="75"/>
      <c r="K642" s="75"/>
      <c r="L642" s="75"/>
    </row>
    <row r="643">
      <c r="I643" s="75"/>
      <c r="J643" s="75"/>
      <c r="K643" s="75"/>
      <c r="L643" s="75"/>
    </row>
    <row r="644">
      <c r="I644" s="75"/>
      <c r="J644" s="75"/>
      <c r="K644" s="75"/>
      <c r="L644" s="75"/>
    </row>
    <row r="645">
      <c r="I645" s="75"/>
      <c r="J645" s="75"/>
      <c r="K645" s="75"/>
      <c r="L645" s="75"/>
    </row>
    <row r="646">
      <c r="I646" s="75"/>
      <c r="J646" s="75"/>
      <c r="K646" s="75"/>
      <c r="L646" s="75"/>
    </row>
    <row r="647">
      <c r="I647" s="75"/>
      <c r="J647" s="75"/>
      <c r="K647" s="75"/>
      <c r="L647" s="75"/>
    </row>
    <row r="648">
      <c r="I648" s="75"/>
      <c r="J648" s="75"/>
      <c r="K648" s="75"/>
      <c r="L648" s="75"/>
    </row>
    <row r="649">
      <c r="I649" s="75"/>
      <c r="J649" s="75"/>
      <c r="K649" s="75"/>
      <c r="L649" s="75"/>
    </row>
    <row r="650">
      <c r="I650" s="75"/>
      <c r="J650" s="75"/>
      <c r="K650" s="75"/>
      <c r="L650" s="75"/>
    </row>
    <row r="651">
      <c r="I651" s="75"/>
      <c r="J651" s="75"/>
      <c r="K651" s="75"/>
      <c r="L651" s="75"/>
    </row>
    <row r="652">
      <c r="I652" s="75"/>
      <c r="J652" s="75"/>
      <c r="K652" s="75"/>
      <c r="L652" s="75"/>
    </row>
    <row r="653">
      <c r="I653" s="75"/>
      <c r="J653" s="75"/>
      <c r="K653" s="75"/>
      <c r="L653" s="75"/>
    </row>
    <row r="654">
      <c r="I654" s="75"/>
      <c r="J654" s="75"/>
      <c r="K654" s="75"/>
      <c r="L654" s="75"/>
    </row>
    <row r="655">
      <c r="I655" s="75"/>
      <c r="J655" s="75"/>
      <c r="K655" s="75"/>
      <c r="L655" s="75"/>
    </row>
    <row r="656">
      <c r="I656" s="75"/>
      <c r="J656" s="75"/>
      <c r="K656" s="75"/>
      <c r="L656" s="75"/>
    </row>
    <row r="657">
      <c r="I657" s="75"/>
      <c r="J657" s="75"/>
      <c r="K657" s="75"/>
      <c r="L657" s="75"/>
    </row>
    <row r="658">
      <c r="I658" s="75"/>
      <c r="J658" s="75"/>
      <c r="K658" s="75"/>
      <c r="L658" s="75"/>
    </row>
    <row r="659">
      <c r="I659" s="75"/>
      <c r="J659" s="75"/>
      <c r="K659" s="75"/>
      <c r="L659" s="75"/>
    </row>
    <row r="660">
      <c r="I660" s="75"/>
      <c r="J660" s="75"/>
      <c r="K660" s="75"/>
      <c r="L660" s="75"/>
    </row>
    <row r="661">
      <c r="I661" s="75"/>
      <c r="J661" s="75"/>
      <c r="K661" s="75"/>
      <c r="L661" s="75"/>
    </row>
    <row r="662">
      <c r="I662" s="75"/>
      <c r="J662" s="75"/>
      <c r="K662" s="75"/>
      <c r="L662" s="75"/>
    </row>
    <row r="663">
      <c r="I663" s="75"/>
      <c r="J663" s="75"/>
      <c r="K663" s="75"/>
      <c r="L663" s="75"/>
    </row>
    <row r="664">
      <c r="I664" s="75"/>
      <c r="J664" s="75"/>
      <c r="K664" s="75"/>
      <c r="L664" s="75"/>
    </row>
    <row r="665">
      <c r="I665" s="75"/>
      <c r="J665" s="75"/>
      <c r="K665" s="75"/>
      <c r="L665" s="75"/>
    </row>
    <row r="666">
      <c r="I666" s="75"/>
      <c r="J666" s="75"/>
      <c r="K666" s="75"/>
      <c r="L666" s="75"/>
    </row>
    <row r="667">
      <c r="I667" s="75"/>
      <c r="J667" s="75"/>
      <c r="K667" s="75"/>
      <c r="L667" s="75"/>
    </row>
    <row r="668">
      <c r="I668" s="75"/>
      <c r="J668" s="75"/>
      <c r="K668" s="75"/>
      <c r="L668" s="75"/>
    </row>
    <row r="669">
      <c r="I669" s="75"/>
      <c r="J669" s="75"/>
      <c r="K669" s="75"/>
      <c r="L669" s="75"/>
    </row>
    <row r="670">
      <c r="I670" s="75"/>
      <c r="J670" s="75"/>
      <c r="K670" s="75"/>
      <c r="L670" s="75"/>
    </row>
    <row r="671">
      <c r="I671" s="75"/>
      <c r="J671" s="75"/>
      <c r="K671" s="75"/>
      <c r="L671" s="75"/>
    </row>
    <row r="672">
      <c r="I672" s="75"/>
      <c r="J672" s="75"/>
      <c r="K672" s="75"/>
      <c r="L672" s="75"/>
    </row>
    <row r="673">
      <c r="I673" s="75"/>
      <c r="J673" s="75"/>
      <c r="K673" s="75"/>
      <c r="L673" s="75"/>
    </row>
    <row r="674">
      <c r="I674" s="75"/>
      <c r="J674" s="75"/>
      <c r="K674" s="75"/>
      <c r="L674" s="75"/>
    </row>
    <row r="675">
      <c r="I675" s="75"/>
      <c r="J675" s="75"/>
      <c r="K675" s="75"/>
      <c r="L675" s="75"/>
    </row>
    <row r="676">
      <c r="I676" s="75"/>
      <c r="J676" s="75"/>
      <c r="K676" s="75"/>
      <c r="L676" s="75"/>
    </row>
    <row r="677">
      <c r="I677" s="75"/>
      <c r="J677" s="75"/>
      <c r="K677" s="75"/>
      <c r="L677" s="75"/>
    </row>
    <row r="678">
      <c r="I678" s="75"/>
      <c r="J678" s="75"/>
      <c r="K678" s="75"/>
      <c r="L678" s="75"/>
    </row>
    <row r="679">
      <c r="I679" s="75"/>
      <c r="J679" s="75"/>
      <c r="K679" s="75"/>
      <c r="L679" s="75"/>
    </row>
    <row r="680">
      <c r="I680" s="75"/>
      <c r="J680" s="75"/>
      <c r="K680" s="75"/>
      <c r="L680" s="75"/>
    </row>
    <row r="681">
      <c r="I681" s="75"/>
      <c r="J681" s="75"/>
      <c r="K681" s="75"/>
      <c r="L681" s="75"/>
    </row>
    <row r="682">
      <c r="I682" s="75"/>
      <c r="J682" s="75"/>
      <c r="K682" s="75"/>
      <c r="L682" s="75"/>
    </row>
    <row r="683">
      <c r="I683" s="75"/>
      <c r="J683" s="75"/>
      <c r="K683" s="75"/>
      <c r="L683" s="75"/>
    </row>
    <row r="684">
      <c r="I684" s="75"/>
      <c r="J684" s="75"/>
      <c r="K684" s="75"/>
      <c r="L684" s="75"/>
    </row>
    <row r="685">
      <c r="I685" s="75"/>
      <c r="J685" s="75"/>
      <c r="K685" s="75"/>
      <c r="L685" s="75"/>
    </row>
    <row r="686">
      <c r="I686" s="75"/>
      <c r="J686" s="75"/>
      <c r="K686" s="75"/>
      <c r="L686" s="75"/>
    </row>
    <row r="687">
      <c r="I687" s="75"/>
      <c r="J687" s="75"/>
      <c r="K687" s="75"/>
      <c r="L687" s="75"/>
    </row>
    <row r="688">
      <c r="I688" s="75"/>
      <c r="J688" s="75"/>
      <c r="K688" s="75"/>
      <c r="L688" s="75"/>
    </row>
    <row r="689">
      <c r="I689" s="75"/>
      <c r="J689" s="75"/>
      <c r="K689" s="75"/>
      <c r="L689" s="75"/>
    </row>
    <row r="690">
      <c r="I690" s="75"/>
      <c r="J690" s="75"/>
      <c r="K690" s="75"/>
      <c r="L690" s="75"/>
    </row>
    <row r="691">
      <c r="I691" s="75"/>
      <c r="J691" s="75"/>
      <c r="K691" s="75"/>
      <c r="L691" s="75"/>
    </row>
    <row r="692">
      <c r="I692" s="75"/>
      <c r="J692" s="75"/>
      <c r="K692" s="75"/>
      <c r="L692" s="75"/>
    </row>
    <row r="693">
      <c r="I693" s="75"/>
      <c r="J693" s="75"/>
      <c r="K693" s="75"/>
      <c r="L693" s="75"/>
    </row>
    <row r="694">
      <c r="I694" s="75"/>
      <c r="J694" s="75"/>
      <c r="K694" s="75"/>
      <c r="L694" s="75"/>
    </row>
    <row r="695">
      <c r="I695" s="75"/>
      <c r="J695" s="75"/>
      <c r="K695" s="75"/>
      <c r="L695" s="75"/>
    </row>
    <row r="696">
      <c r="I696" s="75"/>
      <c r="J696" s="75"/>
      <c r="K696" s="75"/>
      <c r="L696" s="75"/>
    </row>
    <row r="697">
      <c r="I697" s="75"/>
      <c r="J697" s="75"/>
      <c r="K697" s="75"/>
      <c r="L697" s="75"/>
    </row>
    <row r="698">
      <c r="I698" s="75"/>
      <c r="J698" s="75"/>
      <c r="K698" s="75"/>
      <c r="L698" s="75"/>
    </row>
    <row r="699">
      <c r="I699" s="75"/>
      <c r="J699" s="75"/>
      <c r="K699" s="75"/>
      <c r="L699" s="75"/>
    </row>
    <row r="700">
      <c r="I700" s="75"/>
      <c r="J700" s="75"/>
      <c r="K700" s="75"/>
      <c r="L700" s="75"/>
    </row>
    <row r="701">
      <c r="I701" s="75"/>
      <c r="J701" s="75"/>
      <c r="K701" s="75"/>
      <c r="L701" s="75"/>
    </row>
    <row r="702">
      <c r="I702" s="75"/>
      <c r="J702" s="75"/>
      <c r="K702" s="75"/>
      <c r="L702" s="75"/>
    </row>
    <row r="703">
      <c r="I703" s="75"/>
      <c r="J703" s="75"/>
      <c r="K703" s="75"/>
      <c r="L703" s="75"/>
    </row>
    <row r="704">
      <c r="I704" s="75"/>
      <c r="J704" s="75"/>
      <c r="K704" s="75"/>
      <c r="L704" s="75"/>
    </row>
    <row r="705">
      <c r="I705" s="75"/>
      <c r="J705" s="75"/>
      <c r="K705" s="75"/>
      <c r="L705" s="75"/>
    </row>
    <row r="706">
      <c r="I706" s="75"/>
      <c r="J706" s="75"/>
      <c r="K706" s="75"/>
      <c r="L706" s="75"/>
    </row>
    <row r="707">
      <c r="I707" s="75"/>
      <c r="J707" s="75"/>
      <c r="K707" s="75"/>
      <c r="L707" s="75"/>
    </row>
    <row r="708">
      <c r="I708" s="75"/>
      <c r="J708" s="75"/>
      <c r="K708" s="75"/>
      <c r="L708" s="75"/>
    </row>
    <row r="709">
      <c r="I709" s="75"/>
      <c r="J709" s="75"/>
      <c r="K709" s="75"/>
      <c r="L709" s="75"/>
    </row>
    <row r="710">
      <c r="I710" s="75"/>
      <c r="J710" s="75"/>
      <c r="K710" s="75"/>
      <c r="L710" s="75"/>
    </row>
    <row r="711">
      <c r="I711" s="75"/>
      <c r="J711" s="75"/>
      <c r="K711" s="75"/>
      <c r="L711" s="75"/>
    </row>
    <row r="712">
      <c r="I712" s="75"/>
      <c r="J712" s="75"/>
      <c r="K712" s="75"/>
      <c r="L712" s="75"/>
    </row>
    <row r="713">
      <c r="I713" s="75"/>
      <c r="J713" s="75"/>
      <c r="K713" s="75"/>
      <c r="L713" s="75"/>
    </row>
    <row r="714">
      <c r="I714" s="75"/>
      <c r="J714" s="75"/>
      <c r="K714" s="75"/>
      <c r="L714" s="75"/>
    </row>
    <row r="715">
      <c r="I715" s="75"/>
      <c r="J715" s="75"/>
      <c r="K715" s="75"/>
      <c r="L715" s="75"/>
    </row>
    <row r="716">
      <c r="I716" s="75"/>
      <c r="J716" s="75"/>
      <c r="K716" s="75"/>
      <c r="L716" s="75"/>
    </row>
    <row r="717">
      <c r="I717" s="75"/>
      <c r="J717" s="75"/>
      <c r="K717" s="75"/>
      <c r="L717" s="75"/>
    </row>
    <row r="718">
      <c r="I718" s="75"/>
      <c r="J718" s="75"/>
      <c r="K718" s="75"/>
      <c r="L718" s="75"/>
    </row>
    <row r="719">
      <c r="I719" s="75"/>
      <c r="J719" s="75"/>
      <c r="K719" s="75"/>
      <c r="L719" s="75"/>
    </row>
    <row r="720">
      <c r="I720" s="75"/>
      <c r="J720" s="75"/>
      <c r="K720" s="75"/>
      <c r="L720" s="75"/>
    </row>
    <row r="721">
      <c r="I721" s="75"/>
      <c r="J721" s="75"/>
      <c r="K721" s="75"/>
      <c r="L721" s="75"/>
    </row>
    <row r="722">
      <c r="I722" s="75"/>
      <c r="J722" s="75"/>
      <c r="K722" s="75"/>
      <c r="L722" s="75"/>
    </row>
    <row r="723">
      <c r="I723" s="75"/>
      <c r="J723" s="75"/>
      <c r="K723" s="75"/>
      <c r="L723" s="75"/>
    </row>
    <row r="724">
      <c r="I724" s="75"/>
      <c r="J724" s="75"/>
      <c r="K724" s="75"/>
      <c r="L724" s="75"/>
    </row>
    <row r="725">
      <c r="I725" s="75"/>
      <c r="J725" s="75"/>
      <c r="K725" s="75"/>
      <c r="L725" s="75"/>
    </row>
    <row r="726">
      <c r="I726" s="75"/>
      <c r="J726" s="75"/>
      <c r="K726" s="75"/>
      <c r="L726" s="75"/>
    </row>
    <row r="727">
      <c r="I727" s="75"/>
      <c r="J727" s="75"/>
      <c r="K727" s="75"/>
      <c r="L727" s="75"/>
    </row>
    <row r="728">
      <c r="I728" s="75"/>
      <c r="J728" s="75"/>
      <c r="K728" s="75"/>
      <c r="L728" s="75"/>
    </row>
    <row r="729">
      <c r="I729" s="75"/>
      <c r="J729" s="75"/>
      <c r="K729" s="75"/>
      <c r="L729" s="75"/>
    </row>
    <row r="730">
      <c r="I730" s="75"/>
      <c r="J730" s="75"/>
      <c r="K730" s="75"/>
      <c r="L730" s="75"/>
    </row>
    <row r="731">
      <c r="I731" s="75"/>
      <c r="J731" s="75"/>
      <c r="K731" s="75"/>
      <c r="L731" s="75"/>
    </row>
    <row r="732">
      <c r="I732" s="75"/>
      <c r="J732" s="75"/>
      <c r="K732" s="75"/>
      <c r="L732" s="75"/>
    </row>
    <row r="733">
      <c r="I733" s="75"/>
      <c r="J733" s="75"/>
      <c r="K733" s="75"/>
      <c r="L733" s="75"/>
    </row>
    <row r="734">
      <c r="I734" s="75"/>
      <c r="J734" s="75"/>
      <c r="K734" s="75"/>
      <c r="L734" s="75"/>
    </row>
    <row r="735">
      <c r="I735" s="75"/>
      <c r="J735" s="75"/>
      <c r="K735" s="75"/>
      <c r="L735" s="75"/>
    </row>
    <row r="736">
      <c r="I736" s="75"/>
      <c r="J736" s="75"/>
      <c r="K736" s="75"/>
      <c r="L736" s="75"/>
    </row>
    <row r="737">
      <c r="I737" s="75"/>
      <c r="J737" s="75"/>
      <c r="K737" s="75"/>
      <c r="L737" s="75"/>
    </row>
    <row r="738">
      <c r="I738" s="75"/>
      <c r="J738" s="75"/>
      <c r="K738" s="75"/>
      <c r="L738" s="75"/>
    </row>
    <row r="739">
      <c r="I739" s="75"/>
      <c r="J739" s="75"/>
      <c r="K739" s="75"/>
      <c r="L739" s="75"/>
    </row>
    <row r="740">
      <c r="I740" s="75"/>
      <c r="J740" s="75"/>
      <c r="K740" s="75"/>
      <c r="L740" s="75"/>
    </row>
    <row r="741">
      <c r="I741" s="75"/>
      <c r="J741" s="75"/>
      <c r="K741" s="75"/>
      <c r="L741" s="75"/>
    </row>
    <row r="742">
      <c r="I742" s="75"/>
      <c r="J742" s="75"/>
      <c r="K742" s="75"/>
      <c r="L742" s="75"/>
    </row>
    <row r="743">
      <c r="I743" s="75"/>
      <c r="J743" s="75"/>
      <c r="K743" s="75"/>
      <c r="L743" s="75"/>
    </row>
    <row r="744">
      <c r="I744" s="75"/>
      <c r="J744" s="75"/>
      <c r="K744" s="75"/>
      <c r="L744" s="75"/>
    </row>
    <row r="745">
      <c r="I745" s="75"/>
      <c r="J745" s="75"/>
      <c r="K745" s="75"/>
      <c r="L745" s="75"/>
    </row>
    <row r="746">
      <c r="I746" s="75"/>
      <c r="J746" s="75"/>
      <c r="K746" s="75"/>
      <c r="L746" s="75"/>
    </row>
    <row r="747">
      <c r="I747" s="75"/>
      <c r="J747" s="75"/>
      <c r="K747" s="75"/>
      <c r="L747" s="75"/>
    </row>
    <row r="748">
      <c r="I748" s="75"/>
      <c r="J748" s="75"/>
      <c r="K748" s="75"/>
      <c r="L748" s="75"/>
    </row>
    <row r="749">
      <c r="I749" s="75"/>
      <c r="J749" s="75"/>
      <c r="K749" s="75"/>
      <c r="L749" s="75"/>
    </row>
    <row r="750">
      <c r="I750" s="75"/>
      <c r="J750" s="75"/>
      <c r="K750" s="75"/>
      <c r="L750" s="75"/>
    </row>
    <row r="751">
      <c r="I751" s="75"/>
      <c r="J751" s="75"/>
      <c r="K751" s="75"/>
      <c r="L751" s="75"/>
    </row>
    <row r="752">
      <c r="I752" s="75"/>
      <c r="J752" s="75"/>
      <c r="K752" s="75"/>
      <c r="L752" s="75"/>
    </row>
    <row r="753">
      <c r="I753" s="75"/>
      <c r="J753" s="75"/>
      <c r="K753" s="75"/>
      <c r="L753" s="75"/>
    </row>
    <row r="754">
      <c r="I754" s="75"/>
      <c r="J754" s="75"/>
      <c r="K754" s="75"/>
      <c r="L754" s="75"/>
    </row>
    <row r="755">
      <c r="I755" s="75"/>
      <c r="J755" s="75"/>
      <c r="K755" s="75"/>
      <c r="L755" s="75"/>
    </row>
    <row r="756">
      <c r="I756" s="75"/>
      <c r="J756" s="75"/>
      <c r="K756" s="75"/>
      <c r="L756" s="75"/>
    </row>
    <row r="757">
      <c r="I757" s="75"/>
      <c r="J757" s="75"/>
      <c r="K757" s="75"/>
      <c r="L757" s="75"/>
    </row>
    <row r="758">
      <c r="I758" s="75"/>
      <c r="J758" s="75"/>
      <c r="K758" s="75"/>
      <c r="L758" s="75"/>
    </row>
    <row r="759">
      <c r="I759" s="75"/>
      <c r="J759" s="75"/>
      <c r="K759" s="75"/>
      <c r="L759" s="75"/>
    </row>
    <row r="760">
      <c r="I760" s="75"/>
      <c r="J760" s="75"/>
      <c r="K760" s="75"/>
      <c r="L760" s="75"/>
    </row>
    <row r="761">
      <c r="I761" s="75"/>
      <c r="J761" s="75"/>
      <c r="K761" s="75"/>
      <c r="L761" s="75"/>
    </row>
    <row r="762">
      <c r="I762" s="75"/>
      <c r="J762" s="75"/>
      <c r="K762" s="75"/>
      <c r="L762" s="75"/>
    </row>
    <row r="763">
      <c r="I763" s="75"/>
      <c r="J763" s="75"/>
      <c r="K763" s="75"/>
      <c r="L763" s="75"/>
    </row>
    <row r="764">
      <c r="I764" s="75"/>
      <c r="J764" s="75"/>
      <c r="K764" s="75"/>
      <c r="L764" s="75"/>
    </row>
    <row r="765">
      <c r="I765" s="75"/>
      <c r="J765" s="75"/>
      <c r="K765" s="75"/>
      <c r="L765" s="75"/>
    </row>
    <row r="766">
      <c r="I766" s="75"/>
      <c r="J766" s="75"/>
      <c r="K766" s="75"/>
      <c r="L766" s="75"/>
    </row>
    <row r="767">
      <c r="I767" s="75"/>
      <c r="J767" s="75"/>
      <c r="K767" s="75"/>
      <c r="L767" s="75"/>
    </row>
    <row r="768">
      <c r="I768" s="75"/>
      <c r="J768" s="75"/>
      <c r="K768" s="75"/>
      <c r="L768" s="75"/>
    </row>
    <row r="769">
      <c r="I769" s="75"/>
      <c r="J769" s="75"/>
      <c r="K769" s="75"/>
      <c r="L769" s="75"/>
    </row>
    <row r="770">
      <c r="I770" s="75"/>
      <c r="J770" s="75"/>
      <c r="K770" s="75"/>
      <c r="L770" s="75"/>
    </row>
    <row r="771">
      <c r="I771" s="75"/>
      <c r="J771" s="75"/>
      <c r="K771" s="75"/>
      <c r="L771" s="75"/>
    </row>
    <row r="772">
      <c r="I772" s="75"/>
      <c r="J772" s="75"/>
      <c r="K772" s="75"/>
      <c r="L772" s="75"/>
    </row>
    <row r="773">
      <c r="I773" s="75"/>
      <c r="J773" s="75"/>
      <c r="K773" s="75"/>
      <c r="L773" s="75"/>
    </row>
    <row r="774">
      <c r="I774" s="75"/>
      <c r="J774" s="75"/>
      <c r="K774" s="75"/>
      <c r="L774" s="75"/>
    </row>
    <row r="775">
      <c r="I775" s="75"/>
      <c r="J775" s="75"/>
      <c r="K775" s="75"/>
      <c r="L775" s="75"/>
    </row>
    <row r="776">
      <c r="I776" s="75"/>
      <c r="J776" s="75"/>
      <c r="K776" s="75"/>
      <c r="L776" s="75"/>
    </row>
    <row r="777">
      <c r="I777" s="75"/>
      <c r="J777" s="75"/>
      <c r="K777" s="75"/>
      <c r="L777" s="75"/>
    </row>
    <row r="778">
      <c r="I778" s="75"/>
      <c r="J778" s="75"/>
      <c r="K778" s="75"/>
      <c r="L778" s="75"/>
    </row>
    <row r="779">
      <c r="I779" s="75"/>
      <c r="J779" s="75"/>
      <c r="K779" s="75"/>
      <c r="L779" s="75"/>
    </row>
    <row r="780">
      <c r="I780" s="75"/>
      <c r="J780" s="75"/>
      <c r="K780" s="75"/>
      <c r="L780" s="75"/>
    </row>
    <row r="781">
      <c r="I781" s="75"/>
      <c r="J781" s="75"/>
      <c r="K781" s="75"/>
      <c r="L781" s="75"/>
    </row>
    <row r="782">
      <c r="I782" s="75"/>
      <c r="J782" s="75"/>
      <c r="K782" s="75"/>
      <c r="L782" s="75"/>
    </row>
    <row r="783">
      <c r="I783" s="75"/>
      <c r="J783" s="75"/>
      <c r="K783" s="75"/>
      <c r="L783" s="75"/>
    </row>
    <row r="784">
      <c r="I784" s="75"/>
      <c r="J784" s="75"/>
      <c r="K784" s="75"/>
      <c r="L784" s="75"/>
    </row>
    <row r="785">
      <c r="I785" s="75"/>
      <c r="J785" s="75"/>
      <c r="K785" s="75"/>
      <c r="L785" s="75"/>
    </row>
    <row r="786">
      <c r="I786" s="75"/>
      <c r="J786" s="75"/>
      <c r="K786" s="75"/>
      <c r="L786" s="75"/>
    </row>
    <row r="787">
      <c r="I787" s="75"/>
      <c r="J787" s="75"/>
      <c r="K787" s="75"/>
      <c r="L787" s="75"/>
    </row>
    <row r="788">
      <c r="I788" s="75"/>
      <c r="J788" s="75"/>
      <c r="K788" s="75"/>
      <c r="L788" s="75"/>
    </row>
    <row r="789">
      <c r="I789" s="75"/>
      <c r="J789" s="75"/>
      <c r="K789" s="75"/>
      <c r="L789" s="75"/>
    </row>
    <row r="790">
      <c r="I790" s="75"/>
      <c r="J790" s="75"/>
      <c r="K790" s="75"/>
      <c r="L790" s="75"/>
    </row>
    <row r="791">
      <c r="I791" s="75"/>
      <c r="J791" s="75"/>
      <c r="K791" s="75"/>
      <c r="L791" s="75"/>
    </row>
    <row r="792">
      <c r="I792" s="75"/>
      <c r="J792" s="75"/>
      <c r="K792" s="75"/>
      <c r="L792" s="75"/>
    </row>
    <row r="793">
      <c r="I793" s="75"/>
      <c r="J793" s="75"/>
      <c r="K793" s="75"/>
      <c r="L793" s="75"/>
    </row>
    <row r="794">
      <c r="I794" s="75"/>
      <c r="J794" s="75"/>
      <c r="K794" s="75"/>
      <c r="L794" s="75"/>
    </row>
    <row r="795">
      <c r="I795" s="75"/>
      <c r="J795" s="75"/>
      <c r="K795" s="75"/>
      <c r="L795" s="75"/>
    </row>
    <row r="796">
      <c r="I796" s="75"/>
      <c r="J796" s="75"/>
      <c r="K796" s="75"/>
      <c r="L796" s="75"/>
    </row>
    <row r="797">
      <c r="I797" s="75"/>
      <c r="J797" s="75"/>
      <c r="K797" s="75"/>
      <c r="L797" s="75"/>
    </row>
    <row r="798">
      <c r="I798" s="75"/>
      <c r="J798" s="75"/>
      <c r="K798" s="75"/>
      <c r="L798" s="75"/>
    </row>
    <row r="799">
      <c r="I799" s="75"/>
      <c r="J799" s="75"/>
      <c r="K799" s="75"/>
      <c r="L799" s="75"/>
    </row>
    <row r="800">
      <c r="I800" s="75"/>
      <c r="J800" s="75"/>
      <c r="K800" s="75"/>
      <c r="L800" s="75"/>
    </row>
    <row r="801">
      <c r="I801" s="75"/>
      <c r="J801" s="75"/>
      <c r="K801" s="75"/>
      <c r="L801" s="75"/>
    </row>
    <row r="802">
      <c r="I802" s="75"/>
      <c r="J802" s="75"/>
      <c r="K802" s="75"/>
      <c r="L802" s="75"/>
    </row>
    <row r="803">
      <c r="I803" s="75"/>
      <c r="J803" s="75"/>
      <c r="K803" s="75"/>
      <c r="L803" s="75"/>
    </row>
    <row r="804">
      <c r="I804" s="75"/>
      <c r="J804" s="75"/>
      <c r="K804" s="75"/>
      <c r="L804" s="75"/>
    </row>
    <row r="805">
      <c r="I805" s="75"/>
      <c r="J805" s="75"/>
      <c r="K805" s="75"/>
      <c r="L805" s="75"/>
    </row>
    <row r="806">
      <c r="I806" s="75"/>
      <c r="J806" s="75"/>
      <c r="K806" s="75"/>
      <c r="L806" s="75"/>
    </row>
    <row r="807">
      <c r="I807" s="75"/>
      <c r="J807" s="75"/>
      <c r="K807" s="75"/>
      <c r="L807" s="75"/>
    </row>
    <row r="808">
      <c r="I808" s="75"/>
      <c r="J808" s="75"/>
      <c r="K808" s="75"/>
      <c r="L808" s="75"/>
    </row>
    <row r="809">
      <c r="I809" s="75"/>
      <c r="J809" s="75"/>
      <c r="K809" s="75"/>
      <c r="L809" s="75"/>
    </row>
    <row r="810">
      <c r="I810" s="75"/>
      <c r="J810" s="75"/>
      <c r="K810" s="75"/>
      <c r="L810" s="75"/>
    </row>
    <row r="811">
      <c r="I811" s="75"/>
      <c r="J811" s="75"/>
      <c r="K811" s="75"/>
      <c r="L811" s="75"/>
    </row>
    <row r="812">
      <c r="I812" s="75"/>
      <c r="J812" s="75"/>
      <c r="K812" s="75"/>
      <c r="L812" s="75"/>
    </row>
    <row r="813">
      <c r="I813" s="75"/>
      <c r="J813" s="75"/>
      <c r="K813" s="75"/>
      <c r="L813" s="75"/>
    </row>
    <row r="814">
      <c r="I814" s="75"/>
      <c r="J814" s="75"/>
      <c r="K814" s="75"/>
      <c r="L814" s="75"/>
    </row>
    <row r="815">
      <c r="I815" s="75"/>
      <c r="J815" s="75"/>
      <c r="K815" s="75"/>
      <c r="L815" s="75"/>
    </row>
    <row r="816">
      <c r="I816" s="75"/>
      <c r="J816" s="75"/>
      <c r="K816" s="75"/>
      <c r="L816" s="75"/>
    </row>
    <row r="817">
      <c r="I817" s="75"/>
      <c r="J817" s="75"/>
      <c r="K817" s="75"/>
      <c r="L817" s="75"/>
    </row>
    <row r="818">
      <c r="I818" s="75"/>
      <c r="J818" s="75"/>
      <c r="K818" s="75"/>
      <c r="L818" s="75"/>
    </row>
    <row r="819">
      <c r="I819" s="75"/>
      <c r="J819" s="75"/>
      <c r="K819" s="75"/>
      <c r="L819" s="75"/>
    </row>
    <row r="820">
      <c r="I820" s="75"/>
      <c r="J820" s="75"/>
      <c r="K820" s="75"/>
      <c r="L820" s="75"/>
    </row>
    <row r="821">
      <c r="I821" s="75"/>
      <c r="J821" s="75"/>
      <c r="K821" s="75"/>
      <c r="L821" s="75"/>
    </row>
    <row r="822">
      <c r="I822" s="75"/>
      <c r="J822" s="75"/>
      <c r="K822" s="75"/>
      <c r="L822" s="75"/>
    </row>
    <row r="823">
      <c r="I823" s="75"/>
      <c r="J823" s="75"/>
      <c r="K823" s="75"/>
      <c r="L823" s="75"/>
    </row>
    <row r="824">
      <c r="I824" s="75"/>
      <c r="J824" s="75"/>
      <c r="K824" s="75"/>
      <c r="L824" s="75"/>
    </row>
    <row r="825">
      <c r="I825" s="75"/>
      <c r="J825" s="75"/>
      <c r="K825" s="75"/>
      <c r="L825" s="75"/>
    </row>
    <row r="826">
      <c r="I826" s="75"/>
      <c r="J826" s="75"/>
      <c r="K826" s="75"/>
      <c r="L826" s="75"/>
    </row>
    <row r="827">
      <c r="I827" s="75"/>
      <c r="J827" s="75"/>
      <c r="K827" s="75"/>
      <c r="L827" s="75"/>
    </row>
    <row r="828">
      <c r="I828" s="75"/>
      <c r="J828" s="75"/>
      <c r="K828" s="75"/>
      <c r="L828" s="75"/>
    </row>
    <row r="829">
      <c r="I829" s="75"/>
      <c r="J829" s="75"/>
      <c r="K829" s="75"/>
      <c r="L829" s="75"/>
    </row>
    <row r="830">
      <c r="I830" s="75"/>
      <c r="J830" s="75"/>
      <c r="K830" s="75"/>
      <c r="L830" s="75"/>
    </row>
    <row r="831">
      <c r="I831" s="75"/>
      <c r="J831" s="75"/>
      <c r="K831" s="75"/>
      <c r="L831" s="75"/>
    </row>
    <row r="832">
      <c r="I832" s="75"/>
      <c r="J832" s="75"/>
      <c r="K832" s="75"/>
      <c r="L832" s="75"/>
    </row>
    <row r="833">
      <c r="I833" s="75"/>
      <c r="J833" s="75"/>
      <c r="K833" s="75"/>
      <c r="L833" s="75"/>
    </row>
    <row r="834">
      <c r="I834" s="75"/>
      <c r="J834" s="75"/>
      <c r="K834" s="75"/>
      <c r="L834" s="75"/>
    </row>
    <row r="835">
      <c r="I835" s="75"/>
      <c r="J835" s="75"/>
      <c r="K835" s="75"/>
      <c r="L835" s="75"/>
    </row>
    <row r="836">
      <c r="I836" s="75"/>
      <c r="J836" s="75"/>
      <c r="K836" s="75"/>
      <c r="L836" s="75"/>
    </row>
    <row r="837">
      <c r="I837" s="75"/>
      <c r="J837" s="75"/>
      <c r="K837" s="75"/>
      <c r="L837" s="75"/>
    </row>
    <row r="838">
      <c r="I838" s="75"/>
      <c r="J838" s="75"/>
      <c r="K838" s="75"/>
      <c r="L838" s="75"/>
    </row>
    <row r="839">
      <c r="I839" s="75"/>
      <c r="J839" s="75"/>
      <c r="K839" s="75"/>
      <c r="L839" s="75"/>
    </row>
    <row r="840">
      <c r="I840" s="75"/>
      <c r="J840" s="75"/>
      <c r="K840" s="75"/>
      <c r="L840" s="75"/>
    </row>
    <row r="841">
      <c r="I841" s="75"/>
      <c r="J841" s="75"/>
      <c r="K841" s="75"/>
      <c r="L841" s="75"/>
    </row>
    <row r="842">
      <c r="I842" s="75"/>
      <c r="J842" s="75"/>
      <c r="K842" s="75"/>
      <c r="L842" s="75"/>
    </row>
    <row r="843">
      <c r="I843" s="75"/>
      <c r="J843" s="75"/>
      <c r="K843" s="75"/>
      <c r="L843" s="75"/>
    </row>
    <row r="844">
      <c r="I844" s="75"/>
      <c r="J844" s="75"/>
      <c r="K844" s="75"/>
      <c r="L844" s="75"/>
    </row>
    <row r="845">
      <c r="I845" s="75"/>
      <c r="J845" s="75"/>
      <c r="K845" s="75"/>
      <c r="L845" s="75"/>
    </row>
    <row r="846">
      <c r="I846" s="75"/>
      <c r="J846" s="75"/>
      <c r="K846" s="75"/>
      <c r="L846" s="75"/>
    </row>
    <row r="847">
      <c r="I847" s="75"/>
      <c r="J847" s="75"/>
      <c r="K847" s="75"/>
      <c r="L847" s="75"/>
    </row>
    <row r="848">
      <c r="I848" s="75"/>
      <c r="J848" s="75"/>
      <c r="K848" s="75"/>
      <c r="L848" s="75"/>
    </row>
    <row r="849">
      <c r="I849" s="75"/>
      <c r="J849" s="75"/>
      <c r="K849" s="75"/>
      <c r="L849" s="75"/>
    </row>
    <row r="850">
      <c r="I850" s="75"/>
      <c r="J850" s="75"/>
      <c r="K850" s="75"/>
      <c r="L850" s="75"/>
    </row>
    <row r="851">
      <c r="I851" s="75"/>
      <c r="J851" s="75"/>
      <c r="K851" s="75"/>
      <c r="L851" s="75"/>
    </row>
    <row r="852">
      <c r="I852" s="75"/>
      <c r="J852" s="75"/>
      <c r="K852" s="75"/>
      <c r="L852" s="75"/>
    </row>
    <row r="853">
      <c r="I853" s="75"/>
      <c r="J853" s="75"/>
      <c r="K853" s="75"/>
      <c r="L853" s="75"/>
    </row>
    <row r="854">
      <c r="I854" s="75"/>
      <c r="J854" s="75"/>
      <c r="K854" s="75"/>
      <c r="L854" s="75"/>
    </row>
    <row r="855">
      <c r="I855" s="75"/>
      <c r="J855" s="75"/>
      <c r="K855" s="75"/>
      <c r="L855" s="75"/>
    </row>
    <row r="856">
      <c r="I856" s="75"/>
      <c r="J856" s="75"/>
      <c r="K856" s="75"/>
      <c r="L856" s="75"/>
    </row>
    <row r="857">
      <c r="I857" s="75"/>
      <c r="J857" s="75"/>
      <c r="K857" s="75"/>
      <c r="L857" s="75"/>
    </row>
    <row r="858">
      <c r="I858" s="75"/>
      <c r="J858" s="75"/>
      <c r="K858" s="75"/>
      <c r="L858" s="75"/>
    </row>
    <row r="859">
      <c r="I859" s="75"/>
      <c r="J859" s="75"/>
      <c r="K859" s="75"/>
      <c r="L859" s="75"/>
    </row>
    <row r="860">
      <c r="I860" s="75"/>
      <c r="J860" s="75"/>
      <c r="K860" s="75"/>
      <c r="L860" s="75"/>
    </row>
    <row r="861">
      <c r="I861" s="75"/>
      <c r="J861" s="75"/>
      <c r="K861" s="75"/>
      <c r="L861" s="75"/>
    </row>
    <row r="862">
      <c r="I862" s="75"/>
      <c r="J862" s="75"/>
      <c r="K862" s="75"/>
      <c r="L862" s="75"/>
    </row>
    <row r="863">
      <c r="I863" s="75"/>
      <c r="J863" s="75"/>
      <c r="K863" s="75"/>
      <c r="L863" s="75"/>
    </row>
    <row r="864">
      <c r="I864" s="75"/>
      <c r="J864" s="75"/>
      <c r="K864" s="75"/>
      <c r="L864" s="75"/>
    </row>
    <row r="865">
      <c r="I865" s="75"/>
      <c r="J865" s="75"/>
      <c r="K865" s="75"/>
      <c r="L865" s="75"/>
    </row>
    <row r="866">
      <c r="I866" s="75"/>
      <c r="J866" s="75"/>
      <c r="K866" s="75"/>
      <c r="L866" s="75"/>
    </row>
    <row r="867">
      <c r="I867" s="75"/>
      <c r="J867" s="75"/>
      <c r="K867" s="75"/>
      <c r="L867" s="75"/>
    </row>
    <row r="868">
      <c r="I868" s="75"/>
      <c r="J868" s="75"/>
      <c r="K868" s="75"/>
      <c r="L868" s="75"/>
    </row>
    <row r="869">
      <c r="I869" s="75"/>
      <c r="J869" s="75"/>
      <c r="K869" s="75"/>
      <c r="L869" s="75"/>
    </row>
    <row r="870">
      <c r="I870" s="75"/>
      <c r="J870" s="75"/>
      <c r="K870" s="75"/>
      <c r="L870" s="75"/>
    </row>
    <row r="871">
      <c r="I871" s="75"/>
      <c r="J871" s="75"/>
      <c r="K871" s="75"/>
      <c r="L871" s="75"/>
    </row>
    <row r="872">
      <c r="I872" s="75"/>
      <c r="J872" s="75"/>
      <c r="K872" s="75"/>
      <c r="L872" s="75"/>
    </row>
    <row r="873">
      <c r="I873" s="75"/>
      <c r="J873" s="75"/>
      <c r="K873" s="75"/>
      <c r="L873" s="75"/>
    </row>
    <row r="874">
      <c r="I874" s="75"/>
      <c r="J874" s="75"/>
      <c r="K874" s="75"/>
      <c r="L874" s="75"/>
    </row>
    <row r="875">
      <c r="I875" s="75"/>
      <c r="J875" s="75"/>
      <c r="K875" s="75"/>
      <c r="L875" s="75"/>
    </row>
    <row r="876">
      <c r="I876" s="75"/>
      <c r="J876" s="75"/>
      <c r="K876" s="75"/>
      <c r="L876" s="75"/>
    </row>
    <row r="877">
      <c r="I877" s="75"/>
      <c r="J877" s="75"/>
      <c r="K877" s="75"/>
      <c r="L877" s="75"/>
    </row>
    <row r="878">
      <c r="I878" s="75"/>
      <c r="J878" s="75"/>
      <c r="K878" s="75"/>
      <c r="L878" s="75"/>
    </row>
    <row r="879">
      <c r="I879" s="75"/>
      <c r="J879" s="75"/>
      <c r="K879" s="75"/>
      <c r="L879" s="75"/>
    </row>
    <row r="880">
      <c r="I880" s="75"/>
      <c r="J880" s="75"/>
      <c r="K880" s="75"/>
      <c r="L880" s="75"/>
    </row>
    <row r="881">
      <c r="I881" s="75"/>
      <c r="J881" s="75"/>
      <c r="K881" s="75"/>
      <c r="L881" s="75"/>
    </row>
    <row r="882">
      <c r="I882" s="75"/>
      <c r="J882" s="75"/>
      <c r="K882" s="75"/>
      <c r="L882" s="75"/>
    </row>
    <row r="883">
      <c r="I883" s="75"/>
      <c r="J883" s="75"/>
      <c r="K883" s="75"/>
      <c r="L883" s="75"/>
    </row>
    <row r="884">
      <c r="I884" s="75"/>
      <c r="J884" s="75"/>
      <c r="K884" s="75"/>
      <c r="L884" s="75"/>
    </row>
    <row r="885">
      <c r="I885" s="75"/>
      <c r="J885" s="75"/>
      <c r="K885" s="75"/>
      <c r="L885" s="75"/>
    </row>
    <row r="886">
      <c r="I886" s="75"/>
      <c r="J886" s="75"/>
      <c r="K886" s="75"/>
      <c r="L886" s="75"/>
    </row>
    <row r="887">
      <c r="I887" s="75"/>
      <c r="J887" s="75"/>
      <c r="K887" s="75"/>
      <c r="L887" s="75"/>
    </row>
    <row r="888">
      <c r="I888" s="75"/>
      <c r="J888" s="75"/>
      <c r="K888" s="75"/>
      <c r="L888" s="75"/>
    </row>
    <row r="889">
      <c r="I889" s="75"/>
      <c r="J889" s="75"/>
      <c r="K889" s="75"/>
      <c r="L889" s="75"/>
    </row>
    <row r="890">
      <c r="I890" s="75"/>
      <c r="J890" s="75"/>
      <c r="K890" s="75"/>
      <c r="L890" s="75"/>
    </row>
    <row r="891">
      <c r="I891" s="75"/>
      <c r="J891" s="75"/>
      <c r="K891" s="75"/>
      <c r="L891" s="75"/>
    </row>
    <row r="892">
      <c r="I892" s="75"/>
      <c r="J892" s="75"/>
      <c r="K892" s="75"/>
      <c r="L892" s="75"/>
    </row>
    <row r="893">
      <c r="I893" s="75"/>
      <c r="J893" s="75"/>
      <c r="K893" s="75"/>
      <c r="L893" s="75"/>
    </row>
    <row r="894">
      <c r="I894" s="75"/>
      <c r="J894" s="75"/>
      <c r="K894" s="75"/>
      <c r="L894" s="75"/>
    </row>
    <row r="895">
      <c r="I895" s="75"/>
      <c r="J895" s="75"/>
      <c r="K895" s="75"/>
      <c r="L895" s="75"/>
    </row>
    <row r="896">
      <c r="I896" s="75"/>
      <c r="J896" s="75"/>
      <c r="K896" s="75"/>
      <c r="L896" s="75"/>
    </row>
    <row r="897">
      <c r="I897" s="75"/>
      <c r="J897" s="75"/>
      <c r="K897" s="75"/>
      <c r="L897" s="75"/>
    </row>
    <row r="898">
      <c r="I898" s="75"/>
      <c r="J898" s="75"/>
      <c r="K898" s="75"/>
      <c r="L898" s="75"/>
    </row>
    <row r="899">
      <c r="I899" s="75"/>
      <c r="J899" s="75"/>
      <c r="K899" s="75"/>
      <c r="L899" s="75"/>
    </row>
    <row r="900">
      <c r="I900" s="75"/>
      <c r="J900" s="75"/>
      <c r="K900" s="75"/>
      <c r="L900" s="75"/>
    </row>
    <row r="901">
      <c r="I901" s="75"/>
      <c r="J901" s="75"/>
      <c r="K901" s="75"/>
      <c r="L901" s="75"/>
    </row>
    <row r="902">
      <c r="I902" s="75"/>
      <c r="J902" s="75"/>
      <c r="K902" s="75"/>
      <c r="L902" s="75"/>
    </row>
    <row r="903">
      <c r="I903" s="75"/>
      <c r="J903" s="75"/>
      <c r="K903" s="75"/>
      <c r="L903" s="75"/>
    </row>
    <row r="904">
      <c r="I904" s="75"/>
      <c r="J904" s="75"/>
      <c r="K904" s="75"/>
      <c r="L904" s="75"/>
    </row>
    <row r="905">
      <c r="I905" s="75"/>
      <c r="J905" s="75"/>
      <c r="K905" s="75"/>
      <c r="L905" s="75"/>
    </row>
    <row r="906">
      <c r="I906" s="75"/>
      <c r="J906" s="75"/>
      <c r="K906" s="75"/>
      <c r="L906" s="75"/>
    </row>
    <row r="907">
      <c r="I907" s="75"/>
      <c r="J907" s="75"/>
      <c r="K907" s="75"/>
      <c r="L907" s="75"/>
    </row>
    <row r="908">
      <c r="I908" s="75"/>
      <c r="J908" s="75"/>
      <c r="K908" s="75"/>
      <c r="L908" s="75"/>
    </row>
    <row r="909">
      <c r="I909" s="75"/>
      <c r="J909" s="75"/>
      <c r="K909" s="75"/>
      <c r="L909" s="75"/>
    </row>
    <row r="910">
      <c r="I910" s="75"/>
      <c r="J910" s="75"/>
      <c r="K910" s="75"/>
      <c r="L910" s="75"/>
    </row>
    <row r="911">
      <c r="I911" s="75"/>
      <c r="J911" s="75"/>
      <c r="K911" s="75"/>
      <c r="L911" s="75"/>
    </row>
    <row r="912">
      <c r="I912" s="75"/>
      <c r="J912" s="75"/>
      <c r="K912" s="75"/>
      <c r="L912" s="75"/>
    </row>
    <row r="913">
      <c r="I913" s="75"/>
      <c r="J913" s="75"/>
      <c r="K913" s="75"/>
      <c r="L913" s="75"/>
    </row>
    <row r="914">
      <c r="I914" s="75"/>
      <c r="J914" s="75"/>
      <c r="K914" s="75"/>
      <c r="L914" s="75"/>
    </row>
    <row r="915">
      <c r="I915" s="75"/>
      <c r="J915" s="75"/>
      <c r="K915" s="75"/>
      <c r="L915" s="75"/>
    </row>
    <row r="916">
      <c r="I916" s="75"/>
      <c r="J916" s="75"/>
      <c r="K916" s="75"/>
      <c r="L916" s="75"/>
    </row>
    <row r="917">
      <c r="I917" s="75"/>
      <c r="J917" s="75"/>
      <c r="K917" s="75"/>
      <c r="L917" s="75"/>
    </row>
    <row r="918">
      <c r="I918" s="75"/>
      <c r="J918" s="75"/>
      <c r="K918" s="75"/>
      <c r="L918" s="75"/>
    </row>
    <row r="919">
      <c r="I919" s="75"/>
      <c r="J919" s="75"/>
      <c r="K919" s="75"/>
      <c r="L919" s="75"/>
    </row>
    <row r="920">
      <c r="I920" s="75"/>
      <c r="J920" s="75"/>
      <c r="K920" s="75"/>
      <c r="L920" s="75"/>
    </row>
    <row r="921">
      <c r="I921" s="75"/>
      <c r="J921" s="75"/>
      <c r="K921" s="75"/>
      <c r="L921" s="75"/>
    </row>
    <row r="922">
      <c r="I922" s="75"/>
      <c r="J922" s="75"/>
      <c r="K922" s="75"/>
      <c r="L922" s="75"/>
    </row>
    <row r="923">
      <c r="I923" s="75"/>
      <c r="J923" s="75"/>
      <c r="K923" s="75"/>
      <c r="L923" s="75"/>
    </row>
    <row r="924">
      <c r="I924" s="75"/>
      <c r="J924" s="75"/>
      <c r="K924" s="75"/>
      <c r="L924" s="75"/>
    </row>
    <row r="925">
      <c r="I925" s="75"/>
      <c r="J925" s="75"/>
      <c r="K925" s="75"/>
      <c r="L925" s="75"/>
    </row>
    <row r="926">
      <c r="I926" s="75"/>
      <c r="J926" s="75"/>
      <c r="K926" s="75"/>
      <c r="L926" s="75"/>
    </row>
    <row r="927">
      <c r="I927" s="75"/>
      <c r="J927" s="75"/>
      <c r="K927" s="75"/>
      <c r="L927" s="75"/>
    </row>
    <row r="928">
      <c r="I928" s="75"/>
      <c r="J928" s="75"/>
      <c r="K928" s="75"/>
      <c r="L928" s="75"/>
    </row>
    <row r="929">
      <c r="I929" s="75"/>
      <c r="J929" s="75"/>
      <c r="K929" s="75"/>
      <c r="L929" s="75"/>
    </row>
    <row r="930">
      <c r="I930" s="75"/>
      <c r="J930" s="75"/>
      <c r="K930" s="75"/>
      <c r="L930" s="75"/>
    </row>
    <row r="931">
      <c r="I931" s="75"/>
      <c r="J931" s="75"/>
      <c r="K931" s="75"/>
      <c r="L931" s="75"/>
    </row>
    <row r="932">
      <c r="I932" s="75"/>
      <c r="J932" s="75"/>
      <c r="K932" s="75"/>
      <c r="L932" s="75"/>
    </row>
    <row r="933">
      <c r="I933" s="75"/>
      <c r="J933" s="75"/>
      <c r="K933" s="75"/>
      <c r="L933" s="75"/>
    </row>
    <row r="934">
      <c r="I934" s="75"/>
      <c r="J934" s="75"/>
      <c r="K934" s="75"/>
      <c r="L934" s="75"/>
    </row>
    <row r="935">
      <c r="I935" s="75"/>
      <c r="J935" s="75"/>
      <c r="K935" s="75"/>
      <c r="L935" s="75"/>
    </row>
    <row r="936">
      <c r="I936" s="75"/>
      <c r="J936" s="75"/>
      <c r="K936" s="75"/>
      <c r="L936" s="75"/>
    </row>
    <row r="937">
      <c r="I937" s="75"/>
      <c r="J937" s="75"/>
      <c r="K937" s="75"/>
      <c r="L937" s="75"/>
    </row>
    <row r="938">
      <c r="I938" s="75"/>
      <c r="J938" s="75"/>
      <c r="K938" s="75"/>
      <c r="L938" s="75"/>
    </row>
    <row r="939">
      <c r="I939" s="75"/>
      <c r="J939" s="75"/>
      <c r="K939" s="75"/>
      <c r="L939" s="75"/>
    </row>
    <row r="940">
      <c r="I940" s="75"/>
      <c r="J940" s="75"/>
      <c r="K940" s="75"/>
      <c r="L940" s="75"/>
    </row>
    <row r="941">
      <c r="I941" s="75"/>
      <c r="J941" s="75"/>
      <c r="K941" s="75"/>
      <c r="L941" s="75"/>
    </row>
    <row r="942">
      <c r="I942" s="75"/>
      <c r="J942" s="75"/>
      <c r="K942" s="75"/>
      <c r="L942" s="75"/>
    </row>
    <row r="943">
      <c r="I943" s="75"/>
      <c r="J943" s="75"/>
      <c r="K943" s="75"/>
      <c r="L943" s="75"/>
    </row>
    <row r="944">
      <c r="I944" s="75"/>
      <c r="J944" s="75"/>
      <c r="K944" s="75"/>
      <c r="L944" s="75"/>
    </row>
    <row r="945">
      <c r="I945" s="75"/>
      <c r="J945" s="75"/>
      <c r="K945" s="75"/>
      <c r="L945" s="75"/>
    </row>
    <row r="946">
      <c r="I946" s="75"/>
      <c r="J946" s="75"/>
      <c r="K946" s="75"/>
      <c r="L946" s="75"/>
    </row>
    <row r="947">
      <c r="I947" s="75"/>
      <c r="J947" s="75"/>
      <c r="K947" s="75"/>
      <c r="L947" s="75"/>
    </row>
    <row r="948">
      <c r="I948" s="75"/>
      <c r="J948" s="75"/>
      <c r="K948" s="75"/>
      <c r="L948" s="75"/>
    </row>
    <row r="949">
      <c r="I949" s="75"/>
      <c r="J949" s="75"/>
      <c r="K949" s="75"/>
      <c r="L949" s="75"/>
    </row>
    <row r="950">
      <c r="I950" s="75"/>
      <c r="J950" s="75"/>
      <c r="K950" s="75"/>
      <c r="L950" s="75"/>
    </row>
    <row r="951">
      <c r="I951" s="75"/>
      <c r="J951" s="75"/>
      <c r="K951" s="75"/>
      <c r="L951" s="75"/>
    </row>
    <row r="952">
      <c r="I952" s="75"/>
      <c r="J952" s="75"/>
      <c r="K952" s="75"/>
      <c r="L952" s="75"/>
    </row>
    <row r="953">
      <c r="I953" s="75"/>
      <c r="J953" s="75"/>
      <c r="K953" s="75"/>
      <c r="L953" s="75"/>
    </row>
    <row r="954">
      <c r="I954" s="75"/>
      <c r="J954" s="75"/>
      <c r="K954" s="75"/>
      <c r="L954" s="75"/>
    </row>
    <row r="955">
      <c r="I955" s="75"/>
      <c r="J955" s="75"/>
      <c r="K955" s="75"/>
      <c r="L955" s="75"/>
    </row>
    <row r="956">
      <c r="I956" s="75"/>
      <c r="J956" s="75"/>
      <c r="K956" s="75"/>
      <c r="L956" s="75"/>
    </row>
    <row r="957">
      <c r="I957" s="75"/>
      <c r="J957" s="75"/>
      <c r="K957" s="75"/>
      <c r="L957" s="75"/>
    </row>
    <row r="958">
      <c r="I958" s="75"/>
      <c r="J958" s="75"/>
      <c r="K958" s="75"/>
      <c r="L958" s="75"/>
    </row>
    <row r="959">
      <c r="I959" s="75"/>
      <c r="J959" s="75"/>
      <c r="K959" s="75"/>
      <c r="L959" s="75"/>
    </row>
    <row r="960">
      <c r="I960" s="75"/>
      <c r="J960" s="75"/>
      <c r="K960" s="75"/>
      <c r="L960" s="75"/>
    </row>
    <row r="961">
      <c r="I961" s="75"/>
      <c r="J961" s="75"/>
      <c r="K961" s="75"/>
      <c r="L961" s="75"/>
    </row>
    <row r="962">
      <c r="I962" s="75"/>
      <c r="J962" s="75"/>
      <c r="K962" s="75"/>
      <c r="L962" s="75"/>
    </row>
    <row r="963">
      <c r="I963" s="75"/>
      <c r="J963" s="75"/>
      <c r="K963" s="75"/>
      <c r="L963" s="75"/>
    </row>
    <row r="964">
      <c r="I964" s="75"/>
      <c r="J964" s="75"/>
      <c r="K964" s="75"/>
      <c r="L964" s="75"/>
    </row>
    <row r="965">
      <c r="I965" s="75"/>
      <c r="J965" s="75"/>
      <c r="K965" s="75"/>
      <c r="L965" s="75"/>
    </row>
    <row r="966">
      <c r="I966" s="75"/>
      <c r="J966" s="75"/>
      <c r="K966" s="75"/>
      <c r="L966" s="75"/>
    </row>
    <row r="967">
      <c r="I967" s="75"/>
      <c r="J967" s="75"/>
      <c r="K967" s="75"/>
      <c r="L967" s="75"/>
    </row>
    <row r="968">
      <c r="I968" s="75"/>
      <c r="J968" s="75"/>
      <c r="K968" s="75"/>
      <c r="L968" s="75"/>
    </row>
    <row r="969">
      <c r="I969" s="75"/>
      <c r="J969" s="75"/>
      <c r="K969" s="75"/>
      <c r="L969" s="75"/>
    </row>
    <row r="970">
      <c r="I970" s="75"/>
      <c r="J970" s="75"/>
      <c r="K970" s="75"/>
      <c r="L970" s="75"/>
    </row>
    <row r="971">
      <c r="I971" s="75"/>
      <c r="J971" s="75"/>
      <c r="K971" s="75"/>
      <c r="L971" s="75"/>
    </row>
    <row r="972">
      <c r="I972" s="75"/>
      <c r="J972" s="75"/>
      <c r="K972" s="75"/>
      <c r="L972" s="75"/>
    </row>
    <row r="973">
      <c r="I973" s="75"/>
      <c r="J973" s="75"/>
      <c r="K973" s="75"/>
      <c r="L973" s="75"/>
    </row>
    <row r="974">
      <c r="I974" s="75"/>
      <c r="J974" s="75"/>
      <c r="K974" s="75"/>
      <c r="L974" s="75"/>
    </row>
    <row r="975">
      <c r="I975" s="75"/>
      <c r="J975" s="75"/>
      <c r="K975" s="75"/>
      <c r="L975" s="75"/>
    </row>
    <row r="976">
      <c r="I976" s="75"/>
      <c r="J976" s="75"/>
      <c r="K976" s="75"/>
      <c r="L976" s="75"/>
    </row>
    <row r="977">
      <c r="I977" s="75"/>
      <c r="J977" s="75"/>
      <c r="K977" s="75"/>
      <c r="L977" s="75"/>
    </row>
    <row r="978">
      <c r="I978" s="75"/>
      <c r="J978" s="75"/>
      <c r="K978" s="75"/>
      <c r="L978" s="75"/>
    </row>
    <row r="979">
      <c r="I979" s="75"/>
      <c r="J979" s="75"/>
      <c r="K979" s="75"/>
      <c r="L979" s="75"/>
    </row>
    <row r="980">
      <c r="I980" s="75"/>
      <c r="J980" s="75"/>
      <c r="K980" s="75"/>
      <c r="L980" s="75"/>
    </row>
    <row r="981">
      <c r="I981" s="75"/>
      <c r="J981" s="75"/>
      <c r="K981" s="75"/>
      <c r="L981" s="75"/>
    </row>
    <row r="982">
      <c r="I982" s="75"/>
      <c r="J982" s="75"/>
      <c r="K982" s="75"/>
      <c r="L982" s="75"/>
    </row>
    <row r="983">
      <c r="I983" s="75"/>
      <c r="J983" s="75"/>
      <c r="K983" s="75"/>
      <c r="L983" s="75"/>
    </row>
    <row r="984">
      <c r="I984" s="75"/>
      <c r="J984" s="75"/>
      <c r="K984" s="75"/>
      <c r="L984" s="75"/>
    </row>
    <row r="985">
      <c r="I985" s="75"/>
      <c r="J985" s="75"/>
      <c r="K985" s="75"/>
      <c r="L985" s="75"/>
    </row>
    <row r="986">
      <c r="I986" s="75"/>
      <c r="J986" s="75"/>
      <c r="K986" s="75"/>
      <c r="L986" s="75"/>
    </row>
    <row r="987">
      <c r="I987" s="75"/>
      <c r="J987" s="75"/>
      <c r="K987" s="75"/>
      <c r="L987" s="75"/>
    </row>
    <row r="988">
      <c r="I988" s="75"/>
      <c r="J988" s="75"/>
      <c r="K988" s="75"/>
      <c r="L988" s="75"/>
    </row>
    <row r="989">
      <c r="I989" s="75"/>
      <c r="J989" s="75"/>
      <c r="K989" s="75"/>
      <c r="L989" s="75"/>
    </row>
    <row r="990">
      <c r="I990" s="75"/>
      <c r="J990" s="75"/>
      <c r="K990" s="75"/>
      <c r="L990" s="75"/>
    </row>
    <row r="991">
      <c r="I991" s="75"/>
      <c r="J991" s="75"/>
      <c r="K991" s="75"/>
      <c r="L991" s="75"/>
    </row>
    <row r="992">
      <c r="I992" s="75"/>
      <c r="J992" s="75"/>
      <c r="K992" s="75"/>
      <c r="L992" s="75"/>
    </row>
    <row r="993">
      <c r="I993" s="75"/>
      <c r="J993" s="75"/>
      <c r="K993" s="75"/>
      <c r="L993" s="75"/>
    </row>
    <row r="994">
      <c r="I994" s="75"/>
      <c r="J994" s="75"/>
      <c r="K994" s="75"/>
      <c r="L994" s="75"/>
    </row>
    <row r="995">
      <c r="I995" s="75"/>
      <c r="J995" s="75"/>
      <c r="K995" s="75"/>
      <c r="L995" s="75"/>
    </row>
    <row r="996">
      <c r="I996" s="75"/>
      <c r="J996" s="75"/>
      <c r="K996" s="75"/>
      <c r="L996" s="75"/>
    </row>
    <row r="997">
      <c r="I997" s="75"/>
      <c r="J997" s="75"/>
      <c r="K997" s="75"/>
      <c r="L997" s="75"/>
    </row>
    <row r="998">
      <c r="I998" s="75"/>
      <c r="J998" s="75"/>
      <c r="K998" s="75"/>
      <c r="L998" s="75"/>
    </row>
    <row r="999">
      <c r="I999" s="75"/>
      <c r="J999" s="75"/>
      <c r="K999" s="75"/>
      <c r="L999" s="75"/>
    </row>
    <row r="1000">
      <c r="I1000" s="75"/>
      <c r="J1000" s="75"/>
      <c r="K1000" s="75"/>
      <c r="L1000" s="75"/>
    </row>
    <row r="1001">
      <c r="I1001" s="75"/>
      <c r="J1001" s="75"/>
      <c r="K1001" s="75"/>
      <c r="L1001" s="75"/>
    </row>
    <row r="1002">
      <c r="I1002" s="75"/>
      <c r="J1002" s="75"/>
      <c r="K1002" s="75"/>
      <c r="L1002" s="75"/>
    </row>
    <row r="1003">
      <c r="I1003" s="75"/>
      <c r="J1003" s="75"/>
      <c r="K1003" s="75"/>
      <c r="L1003" s="75"/>
    </row>
    <row r="1004">
      <c r="I1004" s="75"/>
      <c r="J1004" s="75"/>
      <c r="K1004" s="75"/>
      <c r="L1004" s="75"/>
    </row>
    <row r="1005">
      <c r="I1005" s="75"/>
      <c r="J1005" s="75"/>
      <c r="K1005" s="75"/>
      <c r="L1005" s="75"/>
    </row>
    <row r="1006">
      <c r="I1006" s="75"/>
      <c r="J1006" s="75"/>
      <c r="K1006" s="75"/>
      <c r="L1006" s="75"/>
    </row>
    <row r="1007">
      <c r="I1007" s="75"/>
      <c r="J1007" s="75"/>
      <c r="K1007" s="75"/>
      <c r="L1007" s="75"/>
    </row>
    <row r="1008">
      <c r="I1008" s="75"/>
      <c r="J1008" s="75"/>
      <c r="K1008" s="75"/>
      <c r="L1008" s="75"/>
    </row>
    <row r="1009">
      <c r="I1009" s="75"/>
      <c r="J1009" s="75"/>
      <c r="K1009" s="75"/>
      <c r="L1009" s="75"/>
    </row>
    <row r="1010">
      <c r="I1010" s="75"/>
      <c r="J1010" s="75"/>
      <c r="K1010" s="75"/>
      <c r="L1010" s="75"/>
    </row>
    <row r="1011">
      <c r="I1011" s="75"/>
      <c r="J1011" s="75"/>
      <c r="K1011" s="75"/>
      <c r="L1011" s="75"/>
    </row>
    <row r="1012">
      <c r="I1012" s="75"/>
      <c r="J1012" s="75"/>
      <c r="K1012" s="75"/>
      <c r="L1012" s="75"/>
    </row>
    <row r="1013">
      <c r="I1013" s="75"/>
      <c r="J1013" s="75"/>
      <c r="K1013" s="75"/>
      <c r="L1013" s="75"/>
    </row>
    <row r="1014">
      <c r="I1014" s="75"/>
      <c r="J1014" s="75"/>
      <c r="K1014" s="75"/>
      <c r="L1014" s="75"/>
    </row>
    <row r="1015">
      <c r="I1015" s="75"/>
      <c r="J1015" s="75"/>
      <c r="K1015" s="75"/>
      <c r="L1015" s="75"/>
    </row>
    <row r="1016">
      <c r="I1016" s="75"/>
      <c r="J1016" s="75"/>
      <c r="K1016" s="75"/>
      <c r="L1016" s="75"/>
    </row>
    <row r="1017">
      <c r="I1017" s="75"/>
      <c r="J1017" s="75"/>
      <c r="K1017" s="75"/>
      <c r="L1017" s="75"/>
    </row>
    <row r="1018">
      <c r="I1018" s="75"/>
      <c r="J1018" s="75"/>
      <c r="K1018" s="75"/>
      <c r="L1018" s="75"/>
    </row>
    <row r="1019">
      <c r="I1019" s="75"/>
      <c r="J1019" s="75"/>
      <c r="K1019" s="75"/>
      <c r="L1019" s="75"/>
    </row>
    <row r="1020">
      <c r="I1020" s="75"/>
      <c r="J1020" s="75"/>
      <c r="K1020" s="75"/>
      <c r="L1020" s="75"/>
    </row>
    <row r="1021">
      <c r="I1021" s="75"/>
      <c r="J1021" s="75"/>
      <c r="K1021" s="75"/>
      <c r="L1021" s="75"/>
    </row>
    <row r="1022">
      <c r="I1022" s="75"/>
      <c r="J1022" s="75"/>
      <c r="K1022" s="75"/>
      <c r="L1022" s="75"/>
    </row>
    <row r="1023">
      <c r="I1023" s="75"/>
      <c r="J1023" s="75"/>
      <c r="K1023" s="75"/>
      <c r="L1023" s="75"/>
    </row>
    <row r="1024">
      <c r="I1024" s="75"/>
      <c r="J1024" s="75"/>
      <c r="K1024" s="75"/>
      <c r="L1024" s="75"/>
    </row>
    <row r="1025">
      <c r="I1025" s="75"/>
      <c r="J1025" s="75"/>
      <c r="K1025" s="75"/>
      <c r="L1025" s="75"/>
    </row>
    <row r="1026">
      <c r="I1026" s="75"/>
      <c r="J1026" s="75"/>
      <c r="K1026" s="75"/>
      <c r="L1026" s="75"/>
    </row>
    <row r="1027">
      <c r="I1027" s="75"/>
      <c r="J1027" s="75"/>
      <c r="K1027" s="75"/>
      <c r="L1027" s="75"/>
    </row>
    <row r="1028">
      <c r="I1028" s="75"/>
      <c r="J1028" s="75"/>
      <c r="K1028" s="75"/>
      <c r="L1028" s="75"/>
    </row>
    <row r="1029">
      <c r="I1029" s="75"/>
      <c r="J1029" s="75"/>
      <c r="K1029" s="75"/>
      <c r="L1029" s="75"/>
    </row>
    <row r="1030">
      <c r="I1030" s="75"/>
      <c r="J1030" s="75"/>
      <c r="K1030" s="75"/>
      <c r="L1030" s="75"/>
    </row>
    <row r="1031">
      <c r="I1031" s="75"/>
      <c r="J1031" s="75"/>
      <c r="K1031" s="75"/>
      <c r="L1031" s="75"/>
    </row>
    <row r="1032">
      <c r="I1032" s="75"/>
      <c r="J1032" s="75"/>
      <c r="K1032" s="75"/>
      <c r="L1032" s="75"/>
    </row>
    <row r="1033">
      <c r="I1033" s="75"/>
      <c r="J1033" s="75"/>
      <c r="K1033" s="75"/>
      <c r="L1033" s="75"/>
    </row>
    <row r="1034">
      <c r="I1034" s="75"/>
      <c r="J1034" s="75"/>
      <c r="K1034" s="75"/>
      <c r="L1034" s="75"/>
    </row>
    <row r="1035">
      <c r="I1035" s="75"/>
      <c r="J1035" s="75"/>
      <c r="K1035" s="75"/>
      <c r="L1035" s="75"/>
    </row>
    <row r="1036">
      <c r="I1036" s="75"/>
      <c r="J1036" s="75"/>
      <c r="K1036" s="75"/>
      <c r="L1036" s="75"/>
    </row>
    <row r="1037">
      <c r="I1037" s="75"/>
      <c r="J1037" s="75"/>
      <c r="K1037" s="75"/>
      <c r="L1037" s="75"/>
    </row>
    <row r="1038">
      <c r="I1038" s="75"/>
      <c r="J1038" s="75"/>
      <c r="K1038" s="75"/>
      <c r="L1038" s="75"/>
    </row>
  </sheetData>
  <mergeCells count="2">
    <mergeCell ref="AB1:AD1"/>
    <mergeCell ref="B28:B29"/>
  </mergeCells>
  <hyperlinks>
    <hyperlink r:id="rId1" ref="AD3"/>
    <hyperlink r:id="rId2" ref="AF3"/>
    <hyperlink r:id="rId3" ref="AE4"/>
    <hyperlink r:id="rId4" ref="AF4"/>
    <hyperlink r:id="rId5" ref="AD5"/>
    <hyperlink r:id="rId6" ref="AF5"/>
    <hyperlink r:id="rId7" ref="AD9"/>
    <hyperlink r:id="rId8" ref="AE9"/>
    <hyperlink r:id="rId9" ref="AF9"/>
    <hyperlink r:id="rId10" ref="AG9"/>
    <hyperlink r:id="rId11" ref="AD10"/>
    <hyperlink r:id="rId12" ref="AD11"/>
    <hyperlink r:id="rId13" ref="AE11"/>
    <hyperlink r:id="rId14" ref="AF11"/>
    <hyperlink r:id="rId15" ref="AG11"/>
    <hyperlink r:id="rId16" ref="AD12"/>
    <hyperlink r:id="rId17" ref="AE12"/>
    <hyperlink r:id="rId18" ref="AD13"/>
    <hyperlink r:id="rId19" ref="AE13"/>
    <hyperlink r:id="rId20" ref="AD16"/>
    <hyperlink r:id="rId21" ref="AE16"/>
    <hyperlink r:id="rId22" ref="AF16"/>
    <hyperlink r:id="rId23" ref="AG16"/>
    <hyperlink r:id="rId24" ref="AD17"/>
    <hyperlink r:id="rId25" ref="AE17"/>
    <hyperlink r:id="rId26" ref="AE30"/>
    <hyperlink r:id="rId27" ref="AF33"/>
    <hyperlink r:id="rId28" ref="AF34"/>
    <hyperlink r:id="rId29" ref="AD38"/>
    <hyperlink r:id="rId30" ref="AE38"/>
    <hyperlink r:id="rId31" ref="AD39"/>
    <hyperlink r:id="rId32" ref="AE39"/>
    <hyperlink r:id="rId33" location="gid=0" ref="A48"/>
    <hyperlink r:id="rId34" ref="A50"/>
    <hyperlink r:id="rId35" ref="A52"/>
  </hyperlinks>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63"/>
    <col customWidth="1" min="6" max="6" width="20.38"/>
    <col customWidth="1" min="7" max="7" width="15.13"/>
  </cols>
  <sheetData>
    <row r="2">
      <c r="A2" s="29" t="s">
        <v>216</v>
      </c>
    </row>
    <row r="3">
      <c r="A3" s="79" t="s">
        <v>217</v>
      </c>
      <c r="B3" s="80" t="s">
        <v>218</v>
      </c>
      <c r="C3" s="81" t="s">
        <v>219</v>
      </c>
      <c r="D3" s="80" t="s">
        <v>220</v>
      </c>
      <c r="E3" s="79" t="s">
        <v>221</v>
      </c>
      <c r="F3" s="80" t="s">
        <v>222</v>
      </c>
      <c r="G3" s="79" t="s">
        <v>223</v>
      </c>
      <c r="H3" s="82" t="s">
        <v>224</v>
      </c>
      <c r="I3" s="83" t="s">
        <v>225</v>
      </c>
      <c r="J3" s="83" t="s">
        <v>226</v>
      </c>
      <c r="K3" s="83" t="s">
        <v>227</v>
      </c>
      <c r="L3" s="79" t="s">
        <v>228</v>
      </c>
      <c r="M3" s="79" t="s">
        <v>229</v>
      </c>
      <c r="N3" s="79" t="s">
        <v>230</v>
      </c>
      <c r="O3" s="79" t="s">
        <v>231</v>
      </c>
      <c r="P3" s="79" t="s">
        <v>232</v>
      </c>
    </row>
    <row r="4">
      <c r="A4" s="84">
        <v>1.0</v>
      </c>
      <c r="B4" s="85" t="s">
        <v>233</v>
      </c>
      <c r="C4" s="86">
        <v>1.0</v>
      </c>
      <c r="D4" s="87">
        <v>1.0</v>
      </c>
      <c r="E4" s="88" t="s">
        <v>234</v>
      </c>
      <c r="F4" s="89" t="s">
        <v>235</v>
      </c>
      <c r="G4" s="90" t="s">
        <v>236</v>
      </c>
      <c r="H4" s="91">
        <v>805.0</v>
      </c>
      <c r="I4" s="92" t="s">
        <v>237</v>
      </c>
      <c r="J4" s="93"/>
      <c r="K4" s="93"/>
      <c r="L4" s="91" t="s">
        <v>238</v>
      </c>
      <c r="M4" s="91"/>
      <c r="N4" s="94">
        <v>0.3</v>
      </c>
      <c r="O4" s="95">
        <f t="shared" ref="O4:O5" si="1">D4*N4</f>
        <v>0.3</v>
      </c>
      <c r="P4" s="96" t="s">
        <v>239</v>
      </c>
    </row>
    <row r="5">
      <c r="A5" s="84">
        <v>2.0</v>
      </c>
      <c r="B5" s="85" t="s">
        <v>240</v>
      </c>
      <c r="C5" s="86">
        <v>1.0</v>
      </c>
      <c r="D5" s="97">
        <v>1.0</v>
      </c>
      <c r="E5" s="91" t="s">
        <v>241</v>
      </c>
      <c r="F5" s="98" t="s">
        <v>242</v>
      </c>
      <c r="G5" s="91" t="s">
        <v>243</v>
      </c>
      <c r="H5" s="91" t="s">
        <v>244</v>
      </c>
      <c r="I5" s="99" t="s">
        <v>245</v>
      </c>
      <c r="J5" s="93"/>
      <c r="K5" s="93"/>
      <c r="L5" s="98" t="s">
        <v>238</v>
      </c>
      <c r="M5" s="91"/>
      <c r="N5" s="91">
        <v>0.3</v>
      </c>
      <c r="O5" s="95">
        <f t="shared" si="1"/>
        <v>0.3</v>
      </c>
      <c r="P5" s="100" t="s">
        <v>246</v>
      </c>
    </row>
    <row r="6">
      <c r="A6" s="101"/>
      <c r="C6" s="86">
        <v>1.0</v>
      </c>
      <c r="D6" s="102"/>
      <c r="E6" s="102"/>
      <c r="F6" s="102"/>
      <c r="G6" s="103" t="s">
        <v>247</v>
      </c>
      <c r="H6" s="102"/>
      <c r="I6" s="104" t="s">
        <v>248</v>
      </c>
      <c r="J6" s="102"/>
      <c r="K6" s="102"/>
      <c r="L6" s="103" t="s">
        <v>238</v>
      </c>
      <c r="M6" s="102"/>
      <c r="N6" s="102"/>
      <c r="O6" s="102"/>
      <c r="P6" s="102"/>
    </row>
    <row r="7">
      <c r="A7" s="102"/>
      <c r="D7" s="102"/>
      <c r="E7" s="102"/>
      <c r="F7" s="102"/>
      <c r="G7" s="103" t="s">
        <v>249</v>
      </c>
      <c r="H7" s="102"/>
      <c r="I7" s="103" t="s">
        <v>248</v>
      </c>
      <c r="J7" s="102"/>
      <c r="K7" s="102"/>
      <c r="L7" s="103" t="s">
        <v>238</v>
      </c>
      <c r="M7" s="102"/>
      <c r="N7" s="102"/>
      <c r="O7" s="102"/>
      <c r="P7" s="102"/>
    </row>
    <row r="11">
      <c r="A11" s="29" t="s">
        <v>250</v>
      </c>
    </row>
    <row r="12">
      <c r="A12" s="79" t="s">
        <v>217</v>
      </c>
      <c r="B12" s="80" t="s">
        <v>251</v>
      </c>
      <c r="C12" s="81" t="s">
        <v>219</v>
      </c>
      <c r="D12" s="80" t="s">
        <v>252</v>
      </c>
      <c r="E12" s="79" t="s">
        <v>221</v>
      </c>
      <c r="F12" s="80" t="s">
        <v>253</v>
      </c>
      <c r="G12" s="79" t="s">
        <v>223</v>
      </c>
      <c r="H12" s="82" t="s">
        <v>254</v>
      </c>
      <c r="I12" s="83" t="s">
        <v>225</v>
      </c>
      <c r="J12" s="83" t="s">
        <v>226</v>
      </c>
      <c r="K12" s="83" t="s">
        <v>227</v>
      </c>
      <c r="L12" s="79" t="s">
        <v>228</v>
      </c>
      <c r="M12" s="79" t="s">
        <v>229</v>
      </c>
      <c r="N12" s="79" t="s">
        <v>230</v>
      </c>
      <c r="O12" s="79" t="s">
        <v>231</v>
      </c>
      <c r="P12" s="79" t="s">
        <v>232</v>
      </c>
    </row>
    <row r="13">
      <c r="A13" s="84">
        <v>3.0</v>
      </c>
      <c r="B13" s="105" t="s">
        <v>255</v>
      </c>
      <c r="C13" s="86">
        <v>1.0</v>
      </c>
      <c r="D13" s="101">
        <v>1.0</v>
      </c>
      <c r="E13" s="106" t="s">
        <v>256</v>
      </c>
      <c r="F13" s="107" t="s">
        <v>257</v>
      </c>
      <c r="G13" s="90" t="s">
        <v>258</v>
      </c>
      <c r="H13" s="91">
        <v>402.0</v>
      </c>
      <c r="I13" s="99" t="s">
        <v>259</v>
      </c>
      <c r="J13" s="93"/>
      <c r="K13" s="93"/>
      <c r="L13" s="91" t="s">
        <v>238</v>
      </c>
      <c r="M13" s="91"/>
      <c r="N13" s="94">
        <v>0.1</v>
      </c>
      <c r="O13" s="95">
        <f>C13*N13</f>
        <v>0.1</v>
      </c>
      <c r="P13" s="100" t="s">
        <v>239</v>
      </c>
    </row>
    <row r="14">
      <c r="A14" s="84">
        <v>4.0</v>
      </c>
      <c r="B14" s="85" t="s">
        <v>260</v>
      </c>
      <c r="C14" s="86">
        <v>1.0</v>
      </c>
      <c r="D14" s="87">
        <v>1.0</v>
      </c>
      <c r="E14" s="93" t="s">
        <v>234</v>
      </c>
      <c r="F14" s="108" t="s">
        <v>261</v>
      </c>
      <c r="G14" s="90" t="s">
        <v>262</v>
      </c>
      <c r="H14" s="109">
        <v>805.0</v>
      </c>
      <c r="I14" s="110"/>
      <c r="J14" s="109" t="s">
        <v>263</v>
      </c>
      <c r="K14" s="93"/>
      <c r="L14" s="95" t="s">
        <v>238</v>
      </c>
      <c r="M14" s="91"/>
      <c r="N14" s="94">
        <v>0.17</v>
      </c>
      <c r="O14" s="95">
        <f>D14*N14</f>
        <v>0.17</v>
      </c>
      <c r="P14" s="111" t="s">
        <v>239</v>
      </c>
    </row>
    <row r="15">
      <c r="A15" s="84">
        <v>5.0</v>
      </c>
      <c r="B15" s="85" t="s">
        <v>264</v>
      </c>
      <c r="C15" s="86">
        <v>1.0</v>
      </c>
      <c r="D15" s="87">
        <v>1.0</v>
      </c>
      <c r="E15" s="88" t="s">
        <v>265</v>
      </c>
      <c r="F15" s="108" t="s">
        <v>266</v>
      </c>
      <c r="G15" s="90" t="s">
        <v>267</v>
      </c>
      <c r="H15" s="91">
        <v>402.0</v>
      </c>
      <c r="I15" s="92" t="s">
        <v>237</v>
      </c>
      <c r="J15" s="91"/>
      <c r="K15" s="91"/>
      <c r="L15" s="91" t="s">
        <v>238</v>
      </c>
      <c r="M15" s="91"/>
      <c r="N15" s="112">
        <v>0.08</v>
      </c>
      <c r="O15" s="95">
        <f>C15*N15</f>
        <v>0.08</v>
      </c>
      <c r="P15" s="111" t="s">
        <v>239</v>
      </c>
    </row>
    <row r="16">
      <c r="A16" s="84">
        <v>6.0</v>
      </c>
      <c r="B16" s="85" t="s">
        <v>268</v>
      </c>
      <c r="C16" s="86">
        <v>1.0</v>
      </c>
      <c r="D16" s="87">
        <v>1.0</v>
      </c>
      <c r="E16" s="91" t="s">
        <v>269</v>
      </c>
      <c r="F16" s="107" t="s">
        <v>270</v>
      </c>
      <c r="G16" s="91" t="s">
        <v>271</v>
      </c>
      <c r="H16" s="91">
        <v>402.0</v>
      </c>
      <c r="I16" s="110"/>
      <c r="J16" s="91"/>
      <c r="K16" s="93" t="s">
        <v>272</v>
      </c>
      <c r="L16" s="95" t="s">
        <v>238</v>
      </c>
      <c r="M16" s="91"/>
      <c r="N16" s="95">
        <v>0.1</v>
      </c>
      <c r="O16" s="95">
        <f t="shared" ref="O16:O18" si="2">D16*N16</f>
        <v>0.1</v>
      </c>
      <c r="P16" s="100" t="s">
        <v>239</v>
      </c>
    </row>
    <row r="17">
      <c r="A17" s="84">
        <v>7.0</v>
      </c>
      <c r="B17" s="105" t="s">
        <v>273</v>
      </c>
      <c r="C17" s="86">
        <v>1.0</v>
      </c>
      <c r="D17" s="87">
        <v>1.0</v>
      </c>
      <c r="E17" s="106" t="s">
        <v>256</v>
      </c>
      <c r="F17" s="107" t="s">
        <v>274</v>
      </c>
      <c r="G17" s="91" t="s">
        <v>275</v>
      </c>
      <c r="H17" s="91">
        <v>402.0</v>
      </c>
      <c r="I17" s="110"/>
      <c r="J17" s="91"/>
      <c r="K17" s="93" t="s">
        <v>276</v>
      </c>
      <c r="L17" s="95" t="s">
        <v>238</v>
      </c>
      <c r="M17" s="91"/>
      <c r="N17" s="95">
        <v>0.1</v>
      </c>
      <c r="O17" s="95">
        <f t="shared" si="2"/>
        <v>0.1</v>
      </c>
      <c r="P17" s="100" t="s">
        <v>239</v>
      </c>
    </row>
    <row r="18">
      <c r="A18" s="84">
        <v>8.0</v>
      </c>
      <c r="B18" s="85" t="s">
        <v>277</v>
      </c>
      <c r="C18" s="86">
        <v>2.0</v>
      </c>
      <c r="D18" s="97">
        <v>2.0</v>
      </c>
      <c r="E18" s="106" t="s">
        <v>256</v>
      </c>
      <c r="F18" s="108" t="s">
        <v>278</v>
      </c>
      <c r="G18" s="90" t="s">
        <v>279</v>
      </c>
      <c r="H18" s="109">
        <v>805.0</v>
      </c>
      <c r="I18" s="92" t="s">
        <v>280</v>
      </c>
      <c r="J18" s="91"/>
      <c r="K18" s="91"/>
      <c r="L18" s="91" t="s">
        <v>238</v>
      </c>
      <c r="M18" s="91"/>
      <c r="N18" s="94">
        <v>0.27</v>
      </c>
      <c r="O18" s="95">
        <f t="shared" si="2"/>
        <v>0.54</v>
      </c>
      <c r="P18" s="100" t="s">
        <v>239</v>
      </c>
    </row>
    <row r="22">
      <c r="A22" s="29" t="s">
        <v>281</v>
      </c>
    </row>
    <row r="23">
      <c r="A23" s="79" t="s">
        <v>217</v>
      </c>
      <c r="B23" s="80" t="s">
        <v>282</v>
      </c>
      <c r="C23" s="81" t="s">
        <v>219</v>
      </c>
      <c r="D23" s="80" t="s">
        <v>283</v>
      </c>
      <c r="E23" s="79" t="s">
        <v>221</v>
      </c>
      <c r="F23" s="80" t="s">
        <v>284</v>
      </c>
      <c r="G23" s="79" t="s">
        <v>223</v>
      </c>
      <c r="H23" s="82" t="s">
        <v>285</v>
      </c>
      <c r="I23" s="83" t="s">
        <v>225</v>
      </c>
      <c r="J23" s="83" t="s">
        <v>226</v>
      </c>
      <c r="K23" s="83" t="s">
        <v>227</v>
      </c>
      <c r="L23" s="79" t="s">
        <v>228</v>
      </c>
      <c r="M23" s="79" t="s">
        <v>229</v>
      </c>
      <c r="N23" s="79" t="s">
        <v>230</v>
      </c>
      <c r="O23" s="79" t="s">
        <v>231</v>
      </c>
      <c r="P23" s="79" t="s">
        <v>232</v>
      </c>
    </row>
    <row r="24">
      <c r="A24" s="84">
        <v>9.0</v>
      </c>
      <c r="B24" s="113" t="s">
        <v>286</v>
      </c>
      <c r="C24" s="21">
        <v>1.0</v>
      </c>
      <c r="D24" s="87">
        <v>1.0</v>
      </c>
      <c r="E24" s="91" t="s">
        <v>287</v>
      </c>
      <c r="F24" s="98" t="s">
        <v>288</v>
      </c>
      <c r="G24" s="91" t="s">
        <v>289</v>
      </c>
      <c r="H24" s="114" t="s">
        <v>290</v>
      </c>
      <c r="I24" s="104" t="s">
        <v>291</v>
      </c>
      <c r="J24" s="102"/>
      <c r="K24" s="102"/>
      <c r="L24" s="115" t="s">
        <v>292</v>
      </c>
      <c r="M24" s="91"/>
      <c r="N24" s="91">
        <v>0.29</v>
      </c>
      <c r="O24" s="91">
        <f>N24*D24</f>
        <v>0.29</v>
      </c>
      <c r="P24" s="116" t="s">
        <v>246</v>
      </c>
    </row>
    <row r="25">
      <c r="A25" s="84">
        <v>10.0</v>
      </c>
      <c r="B25" s="105" t="s">
        <v>293</v>
      </c>
      <c r="C25" s="21">
        <v>2.0</v>
      </c>
      <c r="D25" s="87">
        <v>2.0</v>
      </c>
      <c r="E25" s="106" t="s">
        <v>256</v>
      </c>
      <c r="F25" s="98" t="s">
        <v>294</v>
      </c>
      <c r="G25" s="117" t="s">
        <v>295</v>
      </c>
      <c r="H25" s="110">
        <v>402.0</v>
      </c>
      <c r="I25" s="99" t="s">
        <v>296</v>
      </c>
      <c r="J25" s="91"/>
      <c r="K25" s="91"/>
      <c r="L25" s="91" t="s">
        <v>238</v>
      </c>
      <c r="M25" s="91"/>
      <c r="N25" s="94">
        <v>0.1</v>
      </c>
      <c r="O25" s="95">
        <f t="shared" ref="O25:O26" si="3">D25*N25</f>
        <v>0.2</v>
      </c>
      <c r="P25" s="100" t="s">
        <v>239</v>
      </c>
    </row>
    <row r="26">
      <c r="A26" s="118">
        <v>13.0</v>
      </c>
      <c r="B26" s="85" t="s">
        <v>297</v>
      </c>
      <c r="C26" s="21">
        <v>1.0</v>
      </c>
      <c r="D26" s="97">
        <v>1.0</v>
      </c>
      <c r="E26" s="106" t="s">
        <v>298</v>
      </c>
      <c r="F26" s="91" t="s">
        <v>299</v>
      </c>
      <c r="G26" s="90" t="s">
        <v>300</v>
      </c>
      <c r="H26" s="119" t="s">
        <v>301</v>
      </c>
      <c r="I26" s="119" t="s">
        <v>302</v>
      </c>
      <c r="J26" s="120" t="s">
        <v>263</v>
      </c>
      <c r="K26" s="121"/>
      <c r="L26" s="95" t="s">
        <v>238</v>
      </c>
      <c r="M26" s="90"/>
      <c r="N26" s="122">
        <v>0.15</v>
      </c>
      <c r="O26" s="122">
        <f t="shared" si="3"/>
        <v>0.15</v>
      </c>
      <c r="P26" s="96" t="s">
        <v>239</v>
      </c>
      <c r="Q26" s="85"/>
      <c r="R26" s="85"/>
      <c r="S26" s="85"/>
      <c r="T26" s="85"/>
      <c r="U26" s="85"/>
      <c r="V26" s="85"/>
      <c r="W26" s="85"/>
      <c r="X26" s="85"/>
      <c r="Y26" s="85"/>
      <c r="Z26" s="85"/>
      <c r="AA26" s="85"/>
      <c r="AB26" s="85"/>
      <c r="AC26" s="85"/>
    </row>
    <row r="30">
      <c r="A30" s="29" t="s">
        <v>303</v>
      </c>
    </row>
    <row r="31">
      <c r="B31" s="29" t="s">
        <v>304</v>
      </c>
      <c r="H31" s="29" t="s">
        <v>305</v>
      </c>
      <c r="I31" s="29" t="s">
        <v>306</v>
      </c>
      <c r="J31" s="29" t="s">
        <v>307</v>
      </c>
      <c r="K31" s="29" t="s">
        <v>308</v>
      </c>
      <c r="L31" s="29" t="s">
        <v>309</v>
      </c>
      <c r="M31" s="29" t="s">
        <v>310</v>
      </c>
      <c r="N31" s="29" t="s">
        <v>311</v>
      </c>
      <c r="O31" s="29" t="s">
        <v>312</v>
      </c>
    </row>
    <row r="32">
      <c r="B32" s="58" t="s">
        <v>313</v>
      </c>
      <c r="D32" s="123" t="s">
        <v>314</v>
      </c>
      <c r="E32" s="123" t="s">
        <v>315</v>
      </c>
      <c r="F32" s="29" t="s">
        <v>316</v>
      </c>
      <c r="G32" s="29" t="s">
        <v>259</v>
      </c>
      <c r="H32" s="29" t="s">
        <v>317</v>
      </c>
      <c r="I32" s="29" t="s">
        <v>318</v>
      </c>
      <c r="J32" s="29" t="s">
        <v>319</v>
      </c>
      <c r="K32" s="29" t="s">
        <v>320</v>
      </c>
      <c r="L32" s="29" t="s">
        <v>321</v>
      </c>
      <c r="M32" s="29" t="s">
        <v>322</v>
      </c>
      <c r="N32" s="29" t="s">
        <v>323</v>
      </c>
      <c r="O32" s="29">
        <v>1.0</v>
      </c>
    </row>
    <row r="33">
      <c r="B33" s="58" t="s">
        <v>324</v>
      </c>
      <c r="D33" s="123" t="s">
        <v>325</v>
      </c>
      <c r="E33" s="123" t="s">
        <v>326</v>
      </c>
      <c r="F33" s="29" t="s">
        <v>327</v>
      </c>
      <c r="G33" s="29" t="s">
        <v>259</v>
      </c>
      <c r="H33" s="29" t="s">
        <v>328</v>
      </c>
      <c r="I33" s="29" t="s">
        <v>329</v>
      </c>
      <c r="J33" s="29" t="s">
        <v>330</v>
      </c>
      <c r="K33" s="29" t="s">
        <v>331</v>
      </c>
      <c r="L33" s="29" t="s">
        <v>332</v>
      </c>
      <c r="M33" s="29" t="s">
        <v>333</v>
      </c>
      <c r="N33" s="29" t="s">
        <v>334</v>
      </c>
      <c r="O33" s="29">
        <v>2.0</v>
      </c>
    </row>
    <row r="34">
      <c r="B34" s="77" t="s">
        <v>335</v>
      </c>
      <c r="D34" s="123" t="s">
        <v>336</v>
      </c>
      <c r="E34" s="123" t="s">
        <v>337</v>
      </c>
      <c r="F34" s="29" t="s">
        <v>338</v>
      </c>
      <c r="G34" s="29" t="s">
        <v>259</v>
      </c>
      <c r="H34" s="29" t="s">
        <v>339</v>
      </c>
      <c r="I34" s="29" t="s">
        <v>340</v>
      </c>
      <c r="J34" s="29" t="s">
        <v>320</v>
      </c>
      <c r="K34" s="29" t="s">
        <v>341</v>
      </c>
      <c r="L34" s="29" t="s">
        <v>342</v>
      </c>
      <c r="M34" s="29" t="s">
        <v>343</v>
      </c>
      <c r="N34" s="29" t="s">
        <v>344</v>
      </c>
      <c r="O34" s="29">
        <v>3.0</v>
      </c>
    </row>
    <row r="35">
      <c r="B35" s="58" t="s">
        <v>345</v>
      </c>
      <c r="D35" s="123" t="s">
        <v>346</v>
      </c>
      <c r="E35" s="123" t="s">
        <v>347</v>
      </c>
      <c r="F35" s="29" t="s">
        <v>348</v>
      </c>
      <c r="G35" s="29" t="s">
        <v>259</v>
      </c>
      <c r="H35" s="29" t="s">
        <v>349</v>
      </c>
      <c r="I35" s="29" t="s">
        <v>350</v>
      </c>
      <c r="J35" s="29" t="s">
        <v>350</v>
      </c>
      <c r="K35" s="29" t="s">
        <v>351</v>
      </c>
      <c r="L35" s="29" t="s">
        <v>352</v>
      </c>
      <c r="M35" s="29" t="s">
        <v>353</v>
      </c>
      <c r="N35" s="29" t="s">
        <v>354</v>
      </c>
      <c r="O35" s="29">
        <v>4.0</v>
      </c>
    </row>
    <row r="36">
      <c r="B36" s="77" t="s">
        <v>355</v>
      </c>
      <c r="C36" s="124"/>
      <c r="D36" s="123" t="s">
        <v>356</v>
      </c>
      <c r="E36" s="123" t="s">
        <v>357</v>
      </c>
      <c r="F36" s="29" t="s">
        <v>358</v>
      </c>
      <c r="G36" s="29" t="s">
        <v>259</v>
      </c>
      <c r="H36" s="29" t="s">
        <v>359</v>
      </c>
      <c r="I36" s="29" t="s">
        <v>360</v>
      </c>
      <c r="J36" s="29" t="s">
        <v>361</v>
      </c>
      <c r="K36" s="29" t="s">
        <v>362</v>
      </c>
      <c r="L36" s="29" t="s">
        <v>363</v>
      </c>
      <c r="M36" s="29" t="s">
        <v>364</v>
      </c>
      <c r="N36" s="29" t="s">
        <v>365</v>
      </c>
      <c r="O36" s="29">
        <v>5.0</v>
      </c>
    </row>
  </sheetData>
  <hyperlinks>
    <hyperlink r:id="rId1" ref="P4"/>
    <hyperlink r:id="rId2" ref="P5"/>
    <hyperlink r:id="rId3" ref="P13"/>
    <hyperlink r:id="rId4" ref="P14"/>
    <hyperlink r:id="rId5" ref="P15"/>
    <hyperlink r:id="rId6" ref="P16"/>
    <hyperlink r:id="rId7" ref="P17"/>
    <hyperlink r:id="rId8" ref="P18"/>
    <hyperlink r:id="rId9" ref="P24"/>
    <hyperlink r:id="rId10" ref="P25"/>
    <hyperlink r:id="rId11" ref="P26"/>
    <hyperlink r:id="rId12" ref="B32"/>
    <hyperlink r:id="rId13" ref="B33"/>
    <hyperlink r:id="rId14" ref="B34"/>
    <hyperlink r:id="rId15" ref="B35"/>
    <hyperlink r:id="rId16" ref="B36"/>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42.38"/>
    <col customWidth="1" min="3" max="3" width="4.38"/>
    <col customWidth="1" min="4" max="4" width="26.13"/>
    <col customWidth="1" min="5" max="5" width="18.75"/>
    <col customWidth="1" min="6" max="6" width="15.13"/>
    <col customWidth="1" min="7" max="7" width="11.38"/>
    <col customWidth="1" min="8" max="10" width="7.88"/>
    <col customWidth="1" min="11" max="11" width="12.0"/>
    <col customWidth="1" min="12" max="12" width="11.5"/>
    <col customWidth="1" min="13" max="13" width="8.38"/>
    <col customWidth="1" min="14" max="14" width="9.0"/>
    <col customWidth="1" min="15" max="15" width="7.38"/>
  </cols>
  <sheetData>
    <row r="2">
      <c r="A2" s="29" t="s">
        <v>366</v>
      </c>
    </row>
    <row r="3">
      <c r="A3" s="79" t="s">
        <v>217</v>
      </c>
      <c r="B3" s="80" t="s">
        <v>367</v>
      </c>
      <c r="C3" s="80" t="s">
        <v>368</v>
      </c>
      <c r="D3" s="79" t="s">
        <v>221</v>
      </c>
      <c r="E3" s="80" t="s">
        <v>369</v>
      </c>
      <c r="F3" s="79" t="s">
        <v>223</v>
      </c>
      <c r="G3" s="82" t="s">
        <v>370</v>
      </c>
      <c r="H3" s="83" t="s">
        <v>225</v>
      </c>
      <c r="I3" s="83" t="s">
        <v>226</v>
      </c>
      <c r="J3" s="83" t="s">
        <v>227</v>
      </c>
      <c r="K3" s="79" t="s">
        <v>228</v>
      </c>
      <c r="L3" s="79" t="s">
        <v>229</v>
      </c>
      <c r="M3" s="79" t="s">
        <v>230</v>
      </c>
      <c r="N3" s="79" t="s">
        <v>231</v>
      </c>
      <c r="O3" s="79" t="s">
        <v>232</v>
      </c>
      <c r="P3" s="85"/>
      <c r="Q3" s="85"/>
      <c r="R3" s="85"/>
      <c r="S3" s="85"/>
      <c r="T3" s="85"/>
      <c r="U3" s="85"/>
      <c r="V3" s="85"/>
      <c r="W3" s="85"/>
      <c r="X3" s="85"/>
      <c r="Y3" s="85"/>
      <c r="Z3" s="85"/>
      <c r="AA3" s="85"/>
      <c r="AB3" s="85"/>
      <c r="AC3" s="85"/>
    </row>
    <row r="4">
      <c r="A4" s="118">
        <v>9.0</v>
      </c>
      <c r="B4" s="85" t="s">
        <v>233</v>
      </c>
      <c r="C4" s="97">
        <v>1.0</v>
      </c>
      <c r="D4" s="106" t="s">
        <v>256</v>
      </c>
      <c r="E4" s="98" t="s">
        <v>371</v>
      </c>
      <c r="F4" s="117" t="s">
        <v>372</v>
      </c>
      <c r="G4" s="91">
        <v>805.0</v>
      </c>
      <c r="H4" s="99" t="s">
        <v>373</v>
      </c>
      <c r="I4" s="93"/>
      <c r="J4" s="93"/>
      <c r="K4" s="91" t="s">
        <v>238</v>
      </c>
      <c r="L4" s="91"/>
      <c r="M4" s="95">
        <v>0.24</v>
      </c>
      <c r="N4" s="95">
        <f t="shared" ref="N4:N5" si="1">C4*M4</f>
        <v>0.24</v>
      </c>
      <c r="O4" s="96" t="s">
        <v>239</v>
      </c>
      <c r="P4" s="85"/>
      <c r="Q4" s="105"/>
      <c r="R4" s="85"/>
      <c r="S4" s="85"/>
      <c r="T4" s="85"/>
      <c r="U4" s="85"/>
      <c r="V4" s="85"/>
      <c r="W4" s="85"/>
      <c r="X4" s="85"/>
      <c r="Y4" s="85"/>
      <c r="Z4" s="85"/>
      <c r="AA4" s="85"/>
      <c r="AB4" s="85"/>
      <c r="AC4" s="85"/>
    </row>
    <row r="5">
      <c r="A5" s="118">
        <v>34.0</v>
      </c>
      <c r="B5" s="85" t="s">
        <v>240</v>
      </c>
      <c r="C5" s="97">
        <v>1.0</v>
      </c>
      <c r="D5" s="91" t="s">
        <v>241</v>
      </c>
      <c r="E5" s="98" t="s">
        <v>242</v>
      </c>
      <c r="F5" s="91" t="s">
        <v>243</v>
      </c>
      <c r="G5" s="91" t="s">
        <v>244</v>
      </c>
      <c r="H5" s="99" t="s">
        <v>245</v>
      </c>
      <c r="I5" s="93"/>
      <c r="J5" s="93"/>
      <c r="K5" s="98" t="s">
        <v>238</v>
      </c>
      <c r="L5" s="91"/>
      <c r="M5" s="91">
        <v>0.3</v>
      </c>
      <c r="N5" s="95">
        <f t="shared" si="1"/>
        <v>0.3</v>
      </c>
      <c r="O5" s="116" t="s">
        <v>246</v>
      </c>
      <c r="P5" s="85"/>
      <c r="Q5" s="85"/>
      <c r="R5" s="85"/>
      <c r="S5" s="85"/>
      <c r="T5" s="85"/>
      <c r="U5" s="85"/>
      <c r="V5" s="85"/>
      <c r="W5" s="85"/>
      <c r="X5" s="85"/>
      <c r="Y5" s="85"/>
      <c r="Z5" s="85"/>
      <c r="AA5" s="85"/>
      <c r="AB5" s="85"/>
      <c r="AC5" s="85"/>
    </row>
    <row r="9">
      <c r="A9" s="29" t="s">
        <v>80</v>
      </c>
    </row>
    <row r="10">
      <c r="A10" s="79" t="s">
        <v>217</v>
      </c>
      <c r="B10" s="80" t="s">
        <v>374</v>
      </c>
      <c r="C10" s="80" t="s">
        <v>375</v>
      </c>
      <c r="D10" s="79" t="s">
        <v>221</v>
      </c>
      <c r="E10" s="80" t="s">
        <v>376</v>
      </c>
      <c r="F10" s="79" t="s">
        <v>223</v>
      </c>
      <c r="G10" s="82" t="s">
        <v>377</v>
      </c>
      <c r="H10" s="82"/>
      <c r="I10" s="82"/>
      <c r="J10" s="82"/>
      <c r="K10" s="79" t="s">
        <v>228</v>
      </c>
      <c r="L10" s="79" t="s">
        <v>229</v>
      </c>
      <c r="M10" s="79" t="s">
        <v>230</v>
      </c>
      <c r="N10" s="79" t="s">
        <v>231</v>
      </c>
      <c r="O10" s="79" t="s">
        <v>232</v>
      </c>
      <c r="P10" s="85"/>
      <c r="Q10" s="85"/>
      <c r="R10" s="85"/>
      <c r="S10" s="85"/>
      <c r="T10" s="85"/>
      <c r="U10" s="85"/>
      <c r="V10" s="85"/>
      <c r="W10" s="85"/>
      <c r="X10" s="85"/>
      <c r="Y10" s="85"/>
      <c r="Z10" s="85"/>
      <c r="AA10" s="85"/>
      <c r="AB10" s="85"/>
      <c r="AC10" s="85"/>
    </row>
    <row r="11">
      <c r="A11" s="118">
        <v>5.0</v>
      </c>
      <c r="B11" s="105" t="s">
        <v>255</v>
      </c>
      <c r="C11" s="87">
        <v>1.0</v>
      </c>
      <c r="D11" s="106" t="s">
        <v>256</v>
      </c>
      <c r="E11" s="107" t="s">
        <v>257</v>
      </c>
      <c r="F11" s="90" t="s">
        <v>258</v>
      </c>
      <c r="G11" s="91">
        <v>402.0</v>
      </c>
      <c r="H11" s="99" t="s">
        <v>259</v>
      </c>
      <c r="I11" s="93"/>
      <c r="J11" s="93"/>
      <c r="K11" s="91" t="s">
        <v>238</v>
      </c>
      <c r="L11" s="91"/>
      <c r="M11" s="95">
        <v>0.09</v>
      </c>
      <c r="N11" s="95">
        <f t="shared" ref="N11:N16" si="2">C11*M11</f>
        <v>0.09</v>
      </c>
      <c r="O11" s="125" t="s">
        <v>239</v>
      </c>
      <c r="P11" s="85"/>
      <c r="Q11" s="105"/>
      <c r="R11" s="85"/>
      <c r="S11" s="85"/>
      <c r="T11" s="85"/>
      <c r="U11" s="85"/>
      <c r="V11" s="85"/>
      <c r="W11" s="85"/>
      <c r="X11" s="85"/>
      <c r="Y11" s="85"/>
      <c r="Z11" s="85"/>
      <c r="AA11" s="85"/>
      <c r="AB11" s="85"/>
      <c r="AC11" s="85"/>
    </row>
    <row r="12">
      <c r="A12" s="118">
        <v>21.0</v>
      </c>
      <c r="B12" s="85" t="s">
        <v>260</v>
      </c>
      <c r="C12" s="87">
        <v>1.0</v>
      </c>
      <c r="D12" s="91" t="s">
        <v>378</v>
      </c>
      <c r="E12" s="107" t="s">
        <v>379</v>
      </c>
      <c r="F12" s="90" t="s">
        <v>380</v>
      </c>
      <c r="G12" s="91">
        <v>603.0</v>
      </c>
      <c r="H12" s="110"/>
      <c r="I12" s="93" t="s">
        <v>381</v>
      </c>
      <c r="J12" s="93"/>
      <c r="K12" s="95" t="s">
        <v>238</v>
      </c>
      <c r="L12" s="91"/>
      <c r="M12" s="95">
        <v>0.15</v>
      </c>
      <c r="N12" s="95">
        <f t="shared" si="2"/>
        <v>0.15</v>
      </c>
      <c r="O12" s="126" t="s">
        <v>239</v>
      </c>
      <c r="P12" s="85"/>
      <c r="Q12" s="85"/>
      <c r="R12" s="85"/>
      <c r="S12" s="85"/>
      <c r="T12" s="85"/>
      <c r="U12" s="85"/>
      <c r="V12" s="85"/>
      <c r="W12" s="85"/>
      <c r="X12" s="85"/>
      <c r="Y12" s="85"/>
      <c r="Z12" s="85"/>
      <c r="AA12" s="85"/>
      <c r="AB12" s="85"/>
      <c r="AC12" s="85"/>
    </row>
    <row r="13">
      <c r="A13" s="118">
        <v>10.0</v>
      </c>
      <c r="B13" s="85" t="s">
        <v>264</v>
      </c>
      <c r="C13" s="87">
        <v>1.0</v>
      </c>
      <c r="D13" s="106" t="s">
        <v>382</v>
      </c>
      <c r="E13" s="107">
        <v>8.85012005013E11</v>
      </c>
      <c r="F13" s="90" t="s">
        <v>383</v>
      </c>
      <c r="G13" s="91">
        <v>402.0</v>
      </c>
      <c r="H13" s="99" t="s">
        <v>296</v>
      </c>
      <c r="I13" s="91"/>
      <c r="J13" s="91"/>
      <c r="K13" s="91" t="s">
        <v>238</v>
      </c>
      <c r="L13" s="91"/>
      <c r="M13" s="127">
        <v>0.1</v>
      </c>
      <c r="N13" s="95">
        <f t="shared" si="2"/>
        <v>0.1</v>
      </c>
      <c r="O13" s="128" t="s">
        <v>239</v>
      </c>
      <c r="P13" s="85"/>
      <c r="Q13" s="85"/>
      <c r="R13" s="85"/>
      <c r="S13" s="85"/>
      <c r="T13" s="85"/>
      <c r="U13" s="85"/>
      <c r="V13" s="85"/>
      <c r="W13" s="85"/>
      <c r="X13" s="85"/>
      <c r="Y13" s="85"/>
      <c r="Z13" s="85"/>
      <c r="AA13" s="85"/>
      <c r="AB13" s="85"/>
      <c r="AC13" s="85"/>
    </row>
    <row r="14">
      <c r="A14" s="118">
        <v>26.0</v>
      </c>
      <c r="B14" s="85" t="s">
        <v>268</v>
      </c>
      <c r="C14" s="87">
        <v>1.0</v>
      </c>
      <c r="D14" s="91" t="s">
        <v>269</v>
      </c>
      <c r="E14" s="107" t="s">
        <v>270</v>
      </c>
      <c r="F14" s="91" t="s">
        <v>384</v>
      </c>
      <c r="G14" s="91">
        <v>402.0</v>
      </c>
      <c r="H14" s="110"/>
      <c r="I14" s="91"/>
      <c r="J14" s="93" t="s">
        <v>272</v>
      </c>
      <c r="K14" s="95" t="s">
        <v>238</v>
      </c>
      <c r="L14" s="91"/>
      <c r="M14" s="95">
        <v>0.1</v>
      </c>
      <c r="N14" s="95">
        <f t="shared" si="2"/>
        <v>0.1</v>
      </c>
      <c r="O14" s="100" t="s">
        <v>239</v>
      </c>
      <c r="P14" s="85"/>
      <c r="Q14" s="85"/>
      <c r="R14" s="85"/>
      <c r="S14" s="85"/>
      <c r="T14" s="85"/>
      <c r="U14" s="85"/>
      <c r="V14" s="85"/>
      <c r="W14" s="85"/>
      <c r="X14" s="85"/>
      <c r="Y14" s="85"/>
      <c r="Z14" s="85"/>
      <c r="AA14" s="85"/>
      <c r="AB14" s="85"/>
      <c r="AC14" s="85"/>
    </row>
    <row r="15">
      <c r="A15" s="118">
        <v>22.0</v>
      </c>
      <c r="B15" s="105" t="s">
        <v>273</v>
      </c>
      <c r="C15" s="87">
        <v>1.0</v>
      </c>
      <c r="D15" s="106" t="s">
        <v>256</v>
      </c>
      <c r="E15" s="107" t="s">
        <v>274</v>
      </c>
      <c r="F15" s="91" t="s">
        <v>275</v>
      </c>
      <c r="G15" s="91">
        <v>402.0</v>
      </c>
      <c r="H15" s="110"/>
      <c r="I15" s="91"/>
      <c r="J15" s="93" t="s">
        <v>276</v>
      </c>
      <c r="K15" s="95" t="s">
        <v>238</v>
      </c>
      <c r="L15" s="91"/>
      <c r="M15" s="95">
        <v>0.1</v>
      </c>
      <c r="N15" s="95">
        <f t="shared" si="2"/>
        <v>0.1</v>
      </c>
      <c r="O15" s="100" t="s">
        <v>239</v>
      </c>
      <c r="P15" s="85"/>
      <c r="Q15" s="85"/>
      <c r="R15" s="85"/>
      <c r="S15" s="85"/>
      <c r="T15" s="85"/>
      <c r="U15" s="85"/>
      <c r="V15" s="85"/>
      <c r="W15" s="85"/>
      <c r="X15" s="85"/>
      <c r="Y15" s="85"/>
      <c r="Z15" s="85"/>
      <c r="AA15" s="85"/>
      <c r="AB15" s="85"/>
      <c r="AC15" s="85"/>
    </row>
    <row r="16">
      <c r="A16" s="118">
        <v>4.0</v>
      </c>
      <c r="B16" s="85" t="s">
        <v>277</v>
      </c>
      <c r="C16" s="97">
        <v>2.0</v>
      </c>
      <c r="D16" s="106" t="s">
        <v>256</v>
      </c>
      <c r="E16" s="107" t="s">
        <v>385</v>
      </c>
      <c r="F16" s="90" t="s">
        <v>386</v>
      </c>
      <c r="G16" s="91">
        <v>402.0</v>
      </c>
      <c r="H16" s="99" t="s">
        <v>387</v>
      </c>
      <c r="I16" s="91"/>
      <c r="J16" s="91"/>
      <c r="K16" s="91" t="s">
        <v>238</v>
      </c>
      <c r="L16" s="91"/>
      <c r="M16" s="95">
        <v>0.13</v>
      </c>
      <c r="N16" s="95">
        <f t="shared" si="2"/>
        <v>0.26</v>
      </c>
      <c r="O16" s="96" t="s">
        <v>239</v>
      </c>
      <c r="P16" s="85"/>
      <c r="Q16" s="85"/>
      <c r="R16" s="85"/>
      <c r="S16" s="85"/>
      <c r="T16" s="85"/>
      <c r="U16" s="85"/>
      <c r="V16" s="85"/>
      <c r="W16" s="85"/>
      <c r="X16" s="85"/>
      <c r="Y16" s="85"/>
      <c r="Z16" s="85"/>
      <c r="AA16" s="85"/>
      <c r="AB16" s="85"/>
      <c r="AC16" s="85"/>
    </row>
    <row r="19">
      <c r="A19" s="29" t="s">
        <v>103</v>
      </c>
    </row>
    <row r="20">
      <c r="A20" s="79" t="s">
        <v>217</v>
      </c>
      <c r="B20" s="80" t="s">
        <v>388</v>
      </c>
      <c r="C20" s="80" t="s">
        <v>389</v>
      </c>
      <c r="D20" s="79" t="s">
        <v>221</v>
      </c>
      <c r="E20" s="80" t="s">
        <v>390</v>
      </c>
      <c r="F20" s="79" t="s">
        <v>223</v>
      </c>
      <c r="G20" s="82" t="s">
        <v>391</v>
      </c>
      <c r="H20" s="82"/>
      <c r="I20" s="82"/>
      <c r="J20" s="82"/>
      <c r="K20" s="79" t="s">
        <v>228</v>
      </c>
      <c r="L20" s="79" t="s">
        <v>229</v>
      </c>
      <c r="M20" s="79" t="s">
        <v>230</v>
      </c>
      <c r="N20" s="79" t="s">
        <v>231</v>
      </c>
      <c r="O20" s="79" t="s">
        <v>232</v>
      </c>
    </row>
    <row r="21">
      <c r="A21" s="118">
        <v>37.0</v>
      </c>
      <c r="B21" s="113" t="s">
        <v>286</v>
      </c>
      <c r="C21" s="87">
        <v>1.0</v>
      </c>
      <c r="D21" s="91" t="s">
        <v>287</v>
      </c>
      <c r="E21" s="98" t="s">
        <v>288</v>
      </c>
      <c r="F21" s="91" t="s">
        <v>289</v>
      </c>
      <c r="G21" s="114" t="s">
        <v>290</v>
      </c>
      <c r="H21" s="32" t="s">
        <v>291</v>
      </c>
      <c r="I21" s="102"/>
      <c r="J21" s="102"/>
      <c r="K21" s="115" t="s">
        <v>292</v>
      </c>
      <c r="L21" s="91"/>
      <c r="M21" s="91">
        <v>0.29</v>
      </c>
      <c r="N21" s="91">
        <f>M21*C21</f>
        <v>0.29</v>
      </c>
      <c r="O21" s="116" t="s">
        <v>246</v>
      </c>
      <c r="P21" s="85"/>
      <c r="Q21" s="85"/>
      <c r="R21" s="85"/>
      <c r="S21" s="85"/>
      <c r="T21" s="85"/>
      <c r="U21" s="85"/>
      <c r="V21" s="85"/>
      <c r="W21" s="85"/>
      <c r="X21" s="85"/>
      <c r="Y21" s="85"/>
      <c r="Z21" s="85"/>
    </row>
    <row r="22">
      <c r="A22" s="118">
        <v>7.0</v>
      </c>
      <c r="B22" s="105" t="s">
        <v>293</v>
      </c>
      <c r="C22" s="87">
        <v>2.0</v>
      </c>
      <c r="D22" s="106" t="s">
        <v>256</v>
      </c>
      <c r="E22" s="98" t="s">
        <v>294</v>
      </c>
      <c r="F22" s="117" t="s">
        <v>392</v>
      </c>
      <c r="G22" s="110">
        <v>402.0</v>
      </c>
      <c r="H22" s="99" t="s">
        <v>296</v>
      </c>
      <c r="I22" s="91"/>
      <c r="J22" s="91"/>
      <c r="K22" s="91" t="s">
        <v>238</v>
      </c>
      <c r="L22" s="91"/>
      <c r="M22" s="95">
        <v>0.08</v>
      </c>
      <c r="N22" s="95">
        <f t="shared" ref="N22:N23" si="3">C22*M22</f>
        <v>0.16</v>
      </c>
      <c r="O22" s="100" t="s">
        <v>239</v>
      </c>
    </row>
    <row r="23">
      <c r="A23" s="118">
        <v>13.0</v>
      </c>
      <c r="B23" s="85" t="s">
        <v>297</v>
      </c>
      <c r="C23" s="97">
        <v>1.0</v>
      </c>
      <c r="D23" s="106" t="s">
        <v>393</v>
      </c>
      <c r="E23" s="93" t="s">
        <v>299</v>
      </c>
      <c r="F23" s="90" t="s">
        <v>300</v>
      </c>
      <c r="G23" s="119" t="s">
        <v>301</v>
      </c>
      <c r="H23" s="129" t="s">
        <v>302</v>
      </c>
      <c r="I23" s="93" t="s">
        <v>381</v>
      </c>
      <c r="J23" s="130"/>
      <c r="K23" s="95" t="s">
        <v>238</v>
      </c>
      <c r="L23" s="91"/>
      <c r="M23" s="94">
        <v>0.15</v>
      </c>
      <c r="N23" s="95">
        <f t="shared" si="3"/>
        <v>0.15</v>
      </c>
      <c r="O23" s="100" t="s">
        <v>239</v>
      </c>
      <c r="P23" s="85"/>
      <c r="Q23" s="85"/>
      <c r="R23" s="85"/>
      <c r="S23" s="85"/>
      <c r="T23" s="85"/>
      <c r="U23" s="85"/>
      <c r="V23" s="85"/>
      <c r="W23" s="85"/>
      <c r="X23" s="85"/>
      <c r="Y23" s="85"/>
      <c r="Z23" s="85"/>
      <c r="AA23" s="85"/>
      <c r="AB23" s="85"/>
      <c r="AC23" s="85"/>
    </row>
  </sheetData>
  <hyperlinks>
    <hyperlink r:id="rId1" ref="O4"/>
    <hyperlink r:id="rId2" ref="O5"/>
    <hyperlink r:id="rId3" ref="O11"/>
    <hyperlink r:id="rId4" ref="O12"/>
    <hyperlink r:id="rId5" ref="O13"/>
    <hyperlink r:id="rId6" ref="O14"/>
    <hyperlink r:id="rId7" ref="O15"/>
    <hyperlink r:id="rId8" ref="O16"/>
    <hyperlink r:id="rId9" ref="O21"/>
    <hyperlink r:id="rId10" ref="O22"/>
    <hyperlink r:id="rId11" ref="O23"/>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394</v>
      </c>
      <c r="B1" s="29" t="s">
        <v>395</v>
      </c>
      <c r="C1" s="29" t="s">
        <v>396</v>
      </c>
      <c r="D1" s="29" t="s">
        <v>397</v>
      </c>
      <c r="E1" s="29" t="s">
        <v>398</v>
      </c>
      <c r="F1" s="29" t="s">
        <v>399</v>
      </c>
    </row>
    <row r="2">
      <c r="A2" s="29">
        <v>16.8</v>
      </c>
      <c r="B2" s="131">
        <f>sum(2.2*0.667)</f>
        <v>1.4674</v>
      </c>
      <c r="C2" s="131">
        <f>sum(300*0.444)</f>
        <v>133.2</v>
      </c>
      <c r="D2" s="131">
        <f>sum(55.44*0.444)</f>
        <v>24.61536</v>
      </c>
      <c r="E2" s="131">
        <f t="shared" ref="E2:E7" si="1">sum(C2/D2)</f>
        <v>5.411255411</v>
      </c>
      <c r="F2" s="131">
        <f>sum(8440*0.667)</f>
        <v>5629.48</v>
      </c>
    </row>
    <row r="3">
      <c r="A3" s="29">
        <v>16.8</v>
      </c>
      <c r="B3" s="131">
        <f>sum(4*0.667)</f>
        <v>2.668</v>
      </c>
      <c r="C3" s="131">
        <f>sum(500*0.444)</f>
        <v>222</v>
      </c>
      <c r="D3" s="131">
        <f>sum(100.8*0.444)</f>
        <v>44.7552</v>
      </c>
      <c r="E3" s="131">
        <f t="shared" si="1"/>
        <v>4.96031746</v>
      </c>
      <c r="F3" s="131">
        <f>sum(10550*0.667)</f>
        <v>7036.85</v>
      </c>
    </row>
    <row r="4">
      <c r="A4" s="29">
        <v>16.8</v>
      </c>
      <c r="B4" s="131">
        <f>sum(5.4*0.667)</f>
        <v>3.6018</v>
      </c>
      <c r="C4" s="131">
        <f>sum(700*0.444)</f>
        <v>310.8</v>
      </c>
      <c r="D4" s="131">
        <f>sum(136.08*0.444)</f>
        <v>60.41952</v>
      </c>
      <c r="E4" s="131">
        <f t="shared" si="1"/>
        <v>5.144032922</v>
      </c>
      <c r="F4" s="131">
        <f>sum(12370*0.667)</f>
        <v>8250.79</v>
      </c>
    </row>
    <row r="5">
      <c r="A5" s="29">
        <v>16.8</v>
      </c>
      <c r="B5" s="131">
        <f>sum(9.3*0.667)</f>
        <v>6.2031</v>
      </c>
      <c r="C5" s="131">
        <f>sum(900*0.444)</f>
        <v>399.6</v>
      </c>
      <c r="D5" s="131">
        <f>sum(234.36*0.444)</f>
        <v>104.05584</v>
      </c>
      <c r="E5" s="131">
        <f t="shared" si="1"/>
        <v>3.840245776</v>
      </c>
      <c r="F5" s="131">
        <f>sum(13960*0.667)</f>
        <v>9311.32</v>
      </c>
    </row>
    <row r="6">
      <c r="A6" s="29">
        <v>16.8</v>
      </c>
      <c r="B6" s="131">
        <f>sum(12.4*0.667)</f>
        <v>8.2708</v>
      </c>
      <c r="C6" s="131">
        <f>sum(1100*0.444)</f>
        <v>488.4</v>
      </c>
      <c r="D6" s="131">
        <f>sum(312.48*0.444)</f>
        <v>138.74112</v>
      </c>
      <c r="E6" s="131">
        <f t="shared" si="1"/>
        <v>3.520225294</v>
      </c>
      <c r="F6" s="131">
        <f>sum(15360*0.667)</f>
        <v>10245.12</v>
      </c>
    </row>
    <row r="7">
      <c r="A7" s="29">
        <v>16.8</v>
      </c>
      <c r="B7" s="131">
        <f>sum(47.9*0.667)</f>
        <v>31.9493</v>
      </c>
      <c r="C7" s="131">
        <f>sum(2190*0.444)</f>
        <v>972.36</v>
      </c>
      <c r="D7" s="131">
        <f>sum(1207.08*0.444)</f>
        <v>535.94352</v>
      </c>
      <c r="E7" s="131">
        <f t="shared" si="1"/>
        <v>1.814295656</v>
      </c>
      <c r="F7" s="32" t="s">
        <v>400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394</v>
      </c>
      <c r="B1" s="29" t="s">
        <v>395</v>
      </c>
      <c r="C1" s="29" t="s">
        <v>396</v>
      </c>
      <c r="D1" s="29" t="s">
        <v>397</v>
      </c>
      <c r="E1" s="29" t="s">
        <v>398</v>
      </c>
      <c r="F1" s="29" t="s">
        <v>399</v>
      </c>
    </row>
    <row r="2">
      <c r="A2" s="29">
        <v>12.6</v>
      </c>
      <c r="B2" s="131">
        <f>sum(2.2*0.5)</f>
        <v>1.1</v>
      </c>
      <c r="C2" s="131">
        <f>sum(300*0.25)</f>
        <v>75</v>
      </c>
      <c r="D2" s="131">
        <f>sum(55.44*0.25)</f>
        <v>13.86</v>
      </c>
      <c r="E2" s="131">
        <f t="shared" ref="E2:E7" si="1">sum(C2/D2)</f>
        <v>5.411255411</v>
      </c>
      <c r="F2" s="131">
        <f>sum(8440*0.5)</f>
        <v>4220</v>
      </c>
    </row>
    <row r="3">
      <c r="A3" s="29">
        <v>12.6</v>
      </c>
      <c r="B3" s="131">
        <f>sum(4*0.5)</f>
        <v>2</v>
      </c>
      <c r="C3" s="131">
        <f>sum(500*0.25)</f>
        <v>125</v>
      </c>
      <c r="D3" s="131">
        <f>sum(100.8*0.25)</f>
        <v>25.2</v>
      </c>
      <c r="E3" s="131">
        <f t="shared" si="1"/>
        <v>4.96031746</v>
      </c>
      <c r="F3" s="131">
        <f>sum(10550*0.5)</f>
        <v>5275</v>
      </c>
    </row>
    <row r="4">
      <c r="A4" s="29">
        <v>12.6</v>
      </c>
      <c r="B4" s="131">
        <f>sum(5.4*0.5)</f>
        <v>2.7</v>
      </c>
      <c r="C4" s="131">
        <f>sum(700*0.25)</f>
        <v>175</v>
      </c>
      <c r="D4" s="131">
        <f>sum(136.08*0.25)</f>
        <v>34.02</v>
      </c>
      <c r="E4" s="131">
        <f t="shared" si="1"/>
        <v>5.144032922</v>
      </c>
      <c r="F4" s="131">
        <f>sum(12370*0.5)</f>
        <v>6185</v>
      </c>
    </row>
    <row r="5">
      <c r="A5" s="29">
        <v>12.6</v>
      </c>
      <c r="B5" s="131">
        <f>sum(9.3*0.5)</f>
        <v>4.65</v>
      </c>
      <c r="C5" s="131">
        <f>sum(900*0.25)</f>
        <v>225</v>
      </c>
      <c r="D5" s="131">
        <f>sum(234.36*0.25)</f>
        <v>58.59</v>
      </c>
      <c r="E5" s="131">
        <f t="shared" si="1"/>
        <v>3.840245776</v>
      </c>
      <c r="F5" s="131">
        <f>sum(13960*0.5)</f>
        <v>6980</v>
      </c>
    </row>
    <row r="6">
      <c r="A6" s="29">
        <v>12.6</v>
      </c>
      <c r="B6" s="131">
        <f>sum(12.4*0.5)</f>
        <v>6.2</v>
      </c>
      <c r="C6" s="131">
        <f>sum(1100*0.25)</f>
        <v>275</v>
      </c>
      <c r="D6" s="131">
        <f>sum(312.48*0.25)</f>
        <v>78.12</v>
      </c>
      <c r="E6" s="131">
        <f t="shared" si="1"/>
        <v>3.520225294</v>
      </c>
      <c r="F6" s="131">
        <f>sum(15360*0.5)</f>
        <v>7680</v>
      </c>
    </row>
    <row r="7">
      <c r="A7" s="29">
        <v>12.6</v>
      </c>
      <c r="B7" s="131">
        <f>sum(47.9*0.5)</f>
        <v>23.95</v>
      </c>
      <c r="C7" s="131">
        <f>sum(2190*0.25)</f>
        <v>547.5</v>
      </c>
      <c r="D7" s="131">
        <f>sum(1207.08*0.25)</f>
        <v>301.77</v>
      </c>
      <c r="E7" s="131">
        <f t="shared" si="1"/>
        <v>1.814295656</v>
      </c>
      <c r="F7" s="32" t="s">
        <v>400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4" max="4" width="22.88"/>
    <col customWidth="1" min="7" max="7" width="22.88"/>
  </cols>
  <sheetData>
    <row r="1">
      <c r="A1" s="58" t="s">
        <v>401</v>
      </c>
    </row>
    <row r="2">
      <c r="A2" s="70" t="s">
        <v>402</v>
      </c>
    </row>
    <row r="3">
      <c r="A3" s="29"/>
    </row>
    <row r="4">
      <c r="A4" s="14" t="s">
        <v>403</v>
      </c>
      <c r="B4" s="132"/>
    </row>
    <row r="5">
      <c r="A5" s="29" t="s">
        <v>404</v>
      </c>
      <c r="B5" s="133">
        <v>3.895</v>
      </c>
    </row>
    <row r="6">
      <c r="A6" s="29" t="s">
        <v>405</v>
      </c>
      <c r="B6" s="134">
        <f>sum(B5*453.59237)</f>
        <v>1766.742281</v>
      </c>
    </row>
    <row r="7">
      <c r="A7" s="29" t="s">
        <v>406</v>
      </c>
      <c r="B7" s="134">
        <f>sum(B6*2)</f>
        <v>3533.484562</v>
      </c>
    </row>
    <row r="8">
      <c r="A8" s="29" t="s">
        <v>407</v>
      </c>
      <c r="B8" s="135">
        <f>sum((B5*453.59237)/4)</f>
        <v>441.6855703</v>
      </c>
    </row>
    <row r="9">
      <c r="A9" s="29" t="s">
        <v>408</v>
      </c>
      <c r="B9" s="134">
        <f>sum(((B5*453.59237)/4)*2)</f>
        <v>883.3711406</v>
      </c>
    </row>
    <row r="11">
      <c r="A11" s="136" t="s">
        <v>409</v>
      </c>
      <c r="B11" s="132"/>
    </row>
    <row r="12">
      <c r="A12" s="29" t="s">
        <v>410</v>
      </c>
      <c r="B12" s="137">
        <f>sum(55.44+(B8-300)*((100.8-55.44)/(500-300)))</f>
        <v>87.57428734</v>
      </c>
    </row>
    <row r="13">
      <c r="A13" s="29" t="s">
        <v>411</v>
      </c>
      <c r="B13" s="134">
        <f>sum(B12*4)</f>
        <v>350.2971494</v>
      </c>
    </row>
    <row r="14">
      <c r="A14" s="29" t="s">
        <v>412</v>
      </c>
      <c r="B14" s="137">
        <f>sum(136.08+(B9-700)*((234.36-136.08)/(900-700)))</f>
        <v>226.1885785</v>
      </c>
    </row>
    <row r="15">
      <c r="A15" s="29" t="s">
        <v>413</v>
      </c>
      <c r="B15" s="134">
        <f>sum(B14*4)</f>
        <v>904.7543139</v>
      </c>
    </row>
    <row r="16">
      <c r="A16" s="29"/>
    </row>
    <row r="17">
      <c r="A17" s="14" t="s">
        <v>414</v>
      </c>
      <c r="B17" s="14" t="s">
        <v>415</v>
      </c>
      <c r="C17" s="138"/>
      <c r="D17" s="14" t="s">
        <v>414</v>
      </c>
      <c r="E17" s="14" t="s">
        <v>416</v>
      </c>
      <c r="F17" s="138"/>
      <c r="G17" s="14" t="s">
        <v>414</v>
      </c>
      <c r="H17" s="14" t="s">
        <v>417</v>
      </c>
      <c r="I17" s="138"/>
      <c r="J17" s="138"/>
      <c r="K17" s="138"/>
      <c r="L17" s="138"/>
      <c r="M17" s="138"/>
      <c r="N17" s="138"/>
      <c r="O17" s="138"/>
      <c r="P17" s="138"/>
      <c r="Q17" s="138"/>
      <c r="R17" s="138"/>
      <c r="S17" s="138"/>
      <c r="T17" s="138"/>
      <c r="U17" s="138"/>
      <c r="V17" s="138"/>
      <c r="W17" s="138"/>
      <c r="X17" s="138"/>
      <c r="Y17" s="138"/>
    </row>
    <row r="18">
      <c r="A18" s="29" t="s">
        <v>418</v>
      </c>
      <c r="B18" s="134">
        <f>sum(B12/10.5)</f>
        <v>8.340408318</v>
      </c>
      <c r="C18" s="138"/>
      <c r="D18" s="29" t="s">
        <v>418</v>
      </c>
      <c r="E18" s="134">
        <f>sum(B12/11.1)</f>
        <v>7.889575436</v>
      </c>
      <c r="F18" s="138"/>
      <c r="G18" s="29" t="s">
        <v>418</v>
      </c>
      <c r="H18" s="134">
        <f>sum(B12/12.6)</f>
        <v>6.950340265</v>
      </c>
      <c r="I18" s="138"/>
      <c r="J18" s="138"/>
      <c r="K18" s="138"/>
      <c r="L18" s="138"/>
      <c r="M18" s="138"/>
      <c r="N18" s="138"/>
      <c r="O18" s="138"/>
      <c r="P18" s="138"/>
      <c r="Q18" s="138"/>
      <c r="R18" s="138"/>
      <c r="S18" s="138"/>
      <c r="T18" s="138"/>
      <c r="U18" s="138"/>
      <c r="V18" s="138"/>
      <c r="W18" s="138"/>
      <c r="X18" s="138"/>
      <c r="Y18" s="138"/>
    </row>
    <row r="19">
      <c r="A19" s="29" t="s">
        <v>419</v>
      </c>
      <c r="B19" s="134">
        <f>sum(B18*4)</f>
        <v>33.36163327</v>
      </c>
      <c r="C19" s="138"/>
      <c r="D19" s="29" t="s">
        <v>419</v>
      </c>
      <c r="E19" s="134">
        <f>sum(E18*4)</f>
        <v>31.55830174</v>
      </c>
      <c r="F19" s="138"/>
      <c r="G19" s="29" t="s">
        <v>419</v>
      </c>
      <c r="H19" s="134">
        <f>sum(H18*4)</f>
        <v>27.80136106</v>
      </c>
      <c r="I19" s="138"/>
      <c r="J19" s="138"/>
      <c r="K19" s="138"/>
      <c r="L19" s="138"/>
      <c r="M19" s="138"/>
      <c r="N19" s="138"/>
      <c r="O19" s="138"/>
      <c r="P19" s="138"/>
      <c r="Q19" s="138"/>
      <c r="R19" s="138"/>
      <c r="S19" s="138"/>
      <c r="T19" s="138"/>
      <c r="U19" s="138"/>
      <c r="V19" s="138"/>
      <c r="W19" s="138"/>
      <c r="X19" s="138"/>
      <c r="Y19" s="138"/>
    </row>
    <row r="20">
      <c r="A20" s="29" t="s">
        <v>420</v>
      </c>
      <c r="B20" s="134">
        <f>sum(B14/10.5)</f>
        <v>21.54176938</v>
      </c>
      <c r="C20" s="138"/>
      <c r="D20" s="29" t="s">
        <v>420</v>
      </c>
      <c r="E20" s="134">
        <f>sum(B14/11.1)</f>
        <v>20.37734941</v>
      </c>
      <c r="F20" s="138"/>
      <c r="G20" s="29" t="s">
        <v>420</v>
      </c>
      <c r="H20" s="134">
        <f>sum(B14/12.6)</f>
        <v>17.95147448</v>
      </c>
      <c r="I20" s="138"/>
      <c r="J20" s="138"/>
      <c r="K20" s="138"/>
      <c r="L20" s="138"/>
      <c r="M20" s="138"/>
      <c r="N20" s="138"/>
      <c r="O20" s="138"/>
      <c r="P20" s="138"/>
      <c r="Q20" s="138"/>
      <c r="R20" s="138"/>
      <c r="S20" s="138"/>
      <c r="T20" s="138"/>
      <c r="U20" s="138"/>
      <c r="V20" s="138"/>
      <c r="W20" s="138"/>
      <c r="X20" s="138"/>
      <c r="Y20" s="138"/>
    </row>
    <row r="21">
      <c r="A21" s="29" t="s">
        <v>421</v>
      </c>
      <c r="B21" s="134">
        <f>sum(B20*4)</f>
        <v>86.16707752</v>
      </c>
      <c r="C21" s="138"/>
      <c r="D21" s="29" t="s">
        <v>421</v>
      </c>
      <c r="E21" s="134">
        <f>sum(E20*4)</f>
        <v>81.50939765</v>
      </c>
      <c r="F21" s="138"/>
      <c r="G21" s="29" t="s">
        <v>421</v>
      </c>
      <c r="H21" s="134">
        <f>sum(H20*4)</f>
        <v>71.80589793</v>
      </c>
      <c r="I21" s="138"/>
      <c r="J21" s="138"/>
      <c r="K21" s="138"/>
      <c r="L21" s="138"/>
      <c r="M21" s="138"/>
      <c r="N21" s="138"/>
      <c r="O21" s="138"/>
      <c r="P21" s="138"/>
      <c r="Q21" s="138"/>
      <c r="R21" s="138"/>
      <c r="S21" s="138"/>
      <c r="T21" s="138"/>
      <c r="U21" s="138"/>
      <c r="V21" s="138"/>
      <c r="W21" s="138"/>
      <c r="X21" s="138"/>
      <c r="Y21" s="138"/>
    </row>
    <row r="23">
      <c r="A23" s="14" t="s">
        <v>422</v>
      </c>
      <c r="B23" s="132"/>
    </row>
    <row r="24">
      <c r="A24" s="29" t="s">
        <v>423</v>
      </c>
      <c r="B24" s="134">
        <f>sum(B8/B12)</f>
        <v>5.043553122</v>
      </c>
    </row>
    <row r="25">
      <c r="A25" s="29" t="s">
        <v>424</v>
      </c>
      <c r="B25" s="134">
        <f>sum(B9/B14)</f>
        <v>3.905463072</v>
      </c>
    </row>
  </sheetData>
  <hyperlinks>
    <hyperlink r:id="rId1" ref="A1"/>
  </hyperlinks>
  <drawing r:id="rId2"/>
</worksheet>
</file>